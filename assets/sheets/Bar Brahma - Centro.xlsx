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tarina.scabelli\Documents\Importações EPM - Inputs\"/>
    </mc:Choice>
  </mc:AlternateContent>
  <xr:revisionPtr revIDLastSave="0" documentId="8_{DB26988A-5056-4836-B87B-32C7BE2F7CC8}" xr6:coauthVersionLast="47" xr6:coauthVersionMax="47" xr10:uidLastSave="{00000000-0000-0000-0000-000000000000}"/>
  <bookViews>
    <workbookView xWindow="-108" yWindow="-108" windowWidth="23256" windowHeight="12456" xr2:uid="{EA87469E-A491-40CB-A4DC-F254EEDF3D63}"/>
  </bookViews>
  <sheets>
    <sheet name="Headcount de Pessoas 2026" sheetId="1" r:id="rId1"/>
  </sheets>
  <externalReferences>
    <externalReference r:id="rId2"/>
  </externalReferences>
  <definedNames>
    <definedName name="Início_do_projeto">#REF!</definedName>
    <definedName name="Semana_de_exibiçã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Z100" i="1" l="1"/>
  <c r="AZ101" i="1" s="1"/>
  <c r="AZ103" i="1" s="1"/>
  <c r="AY100" i="1"/>
  <c r="AY101" i="1" s="1"/>
  <c r="AY103" i="1" s="1"/>
  <c r="AX100" i="1"/>
  <c r="AX101" i="1" s="1"/>
  <c r="AX103" i="1" s="1"/>
  <c r="AW100" i="1"/>
  <c r="AW101" i="1" s="1"/>
  <c r="AW103" i="1" s="1"/>
  <c r="AV100" i="1"/>
  <c r="AV101" i="1" s="1"/>
  <c r="AV103" i="1" s="1"/>
  <c r="AU100" i="1"/>
  <c r="AU101" i="1" s="1"/>
  <c r="AU103" i="1" s="1"/>
  <c r="AT100" i="1"/>
  <c r="AT101" i="1" s="1"/>
  <c r="AT103" i="1" s="1"/>
  <c r="AS100" i="1"/>
  <c r="AS101" i="1" s="1"/>
  <c r="AS103" i="1" s="1"/>
  <c r="AR100" i="1"/>
  <c r="AR101" i="1" s="1"/>
  <c r="AR103" i="1" s="1"/>
  <c r="AQ100" i="1"/>
  <c r="AQ101" i="1" s="1"/>
  <c r="AQ103" i="1" s="1"/>
  <c r="AP100" i="1"/>
  <c r="AP101" i="1" s="1"/>
  <c r="AP103" i="1" s="1"/>
  <c r="AO100" i="1"/>
  <c r="AO101" i="1" s="1"/>
  <c r="AO103" i="1" s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E96" i="1"/>
  <c r="AD96" i="1"/>
  <c r="AC96" i="1"/>
  <c r="AB96" i="1"/>
  <c r="Z96" i="1"/>
  <c r="AM96" i="1" s="1"/>
  <c r="Y96" i="1"/>
  <c r="AL96" i="1" s="1"/>
  <c r="X96" i="1"/>
  <c r="AK96" i="1" s="1"/>
  <c r="W96" i="1"/>
  <c r="AJ96" i="1" s="1"/>
  <c r="V96" i="1"/>
  <c r="AI96" i="1" s="1"/>
  <c r="U96" i="1"/>
  <c r="AH96" i="1" s="1"/>
  <c r="T96" i="1"/>
  <c r="AG96" i="1" s="1"/>
  <c r="S96" i="1"/>
  <c r="AF96" i="1" s="1"/>
  <c r="N96" i="1"/>
  <c r="AA96" i="1" s="1"/>
  <c r="AN96" i="1" s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E95" i="1"/>
  <c r="AD95" i="1"/>
  <c r="AC95" i="1"/>
  <c r="AB95" i="1"/>
  <c r="Z95" i="1"/>
  <c r="AM95" i="1" s="1"/>
  <c r="Y95" i="1"/>
  <c r="AL95" i="1" s="1"/>
  <c r="X95" i="1"/>
  <c r="AK95" i="1" s="1"/>
  <c r="W95" i="1"/>
  <c r="AJ95" i="1" s="1"/>
  <c r="V95" i="1"/>
  <c r="AI95" i="1" s="1"/>
  <c r="U95" i="1"/>
  <c r="AH95" i="1" s="1"/>
  <c r="T95" i="1"/>
  <c r="AG95" i="1" s="1"/>
  <c r="S95" i="1"/>
  <c r="AF95" i="1" s="1"/>
  <c r="N95" i="1"/>
  <c r="AA95" i="1" s="1"/>
  <c r="AN95" i="1" s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E94" i="1"/>
  <c r="AD94" i="1"/>
  <c r="AC94" i="1"/>
  <c r="AB94" i="1"/>
  <c r="Z94" i="1"/>
  <c r="AM94" i="1" s="1"/>
  <c r="Y94" i="1"/>
  <c r="AL94" i="1" s="1"/>
  <c r="X94" i="1"/>
  <c r="AK94" i="1" s="1"/>
  <c r="W94" i="1"/>
  <c r="AJ94" i="1" s="1"/>
  <c r="V94" i="1"/>
  <c r="AI94" i="1" s="1"/>
  <c r="U94" i="1"/>
  <c r="AH94" i="1" s="1"/>
  <c r="T94" i="1"/>
  <c r="AG94" i="1" s="1"/>
  <c r="S94" i="1"/>
  <c r="AF94" i="1" s="1"/>
  <c r="N94" i="1"/>
  <c r="AA94" i="1" s="1"/>
  <c r="AN94" i="1" s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E93" i="1"/>
  <c r="AD93" i="1"/>
  <c r="AC93" i="1"/>
  <c r="AB93" i="1"/>
  <c r="Z93" i="1"/>
  <c r="AM93" i="1" s="1"/>
  <c r="Y93" i="1"/>
  <c r="AL93" i="1" s="1"/>
  <c r="X93" i="1"/>
  <c r="AK93" i="1" s="1"/>
  <c r="W93" i="1"/>
  <c r="AJ93" i="1" s="1"/>
  <c r="V93" i="1"/>
  <c r="AI93" i="1" s="1"/>
  <c r="U93" i="1"/>
  <c r="AH93" i="1" s="1"/>
  <c r="T93" i="1"/>
  <c r="AG93" i="1" s="1"/>
  <c r="S93" i="1"/>
  <c r="AF93" i="1" s="1"/>
  <c r="N93" i="1"/>
  <c r="AA93" i="1" s="1"/>
  <c r="AN93" i="1" s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E92" i="1"/>
  <c r="AD92" i="1"/>
  <c r="AC92" i="1"/>
  <c r="AB92" i="1"/>
  <c r="Z92" i="1"/>
  <c r="AM92" i="1" s="1"/>
  <c r="Y92" i="1"/>
  <c r="AL92" i="1" s="1"/>
  <c r="X92" i="1"/>
  <c r="AK92" i="1" s="1"/>
  <c r="W92" i="1"/>
  <c r="AJ92" i="1" s="1"/>
  <c r="V92" i="1"/>
  <c r="AI92" i="1" s="1"/>
  <c r="U92" i="1"/>
  <c r="AH92" i="1" s="1"/>
  <c r="T92" i="1"/>
  <c r="AG92" i="1" s="1"/>
  <c r="S92" i="1"/>
  <c r="AF92" i="1" s="1"/>
  <c r="N92" i="1"/>
  <c r="AA92" i="1" s="1"/>
  <c r="AN92" i="1" s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E91" i="1"/>
  <c r="AD91" i="1"/>
  <c r="AC91" i="1"/>
  <c r="AB91" i="1"/>
  <c r="Z91" i="1"/>
  <c r="AM91" i="1" s="1"/>
  <c r="Y91" i="1"/>
  <c r="AL91" i="1" s="1"/>
  <c r="X91" i="1"/>
  <c r="AK91" i="1" s="1"/>
  <c r="W91" i="1"/>
  <c r="AJ91" i="1" s="1"/>
  <c r="V91" i="1"/>
  <c r="AI91" i="1" s="1"/>
  <c r="U91" i="1"/>
  <c r="AH91" i="1" s="1"/>
  <c r="T91" i="1"/>
  <c r="AG91" i="1" s="1"/>
  <c r="S91" i="1"/>
  <c r="AF91" i="1" s="1"/>
  <c r="N91" i="1"/>
  <c r="AA91" i="1" s="1"/>
  <c r="AN91" i="1" s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E90" i="1"/>
  <c r="AD90" i="1"/>
  <c r="AC90" i="1"/>
  <c r="AB90" i="1"/>
  <c r="Z90" i="1"/>
  <c r="AM90" i="1" s="1"/>
  <c r="Y90" i="1"/>
  <c r="AL90" i="1" s="1"/>
  <c r="X90" i="1"/>
  <c r="AK90" i="1" s="1"/>
  <c r="W90" i="1"/>
  <c r="AJ90" i="1" s="1"/>
  <c r="V90" i="1"/>
  <c r="AI90" i="1" s="1"/>
  <c r="U90" i="1"/>
  <c r="AH90" i="1" s="1"/>
  <c r="T90" i="1"/>
  <c r="AG90" i="1" s="1"/>
  <c r="S90" i="1"/>
  <c r="AF90" i="1" s="1"/>
  <c r="N90" i="1"/>
  <c r="AA90" i="1" s="1"/>
  <c r="AN90" i="1" s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E89" i="1"/>
  <c r="AD89" i="1"/>
  <c r="AC89" i="1"/>
  <c r="AB89" i="1"/>
  <c r="Z89" i="1"/>
  <c r="AM89" i="1" s="1"/>
  <c r="Y89" i="1"/>
  <c r="AL89" i="1" s="1"/>
  <c r="X89" i="1"/>
  <c r="AK89" i="1" s="1"/>
  <c r="W89" i="1"/>
  <c r="AJ89" i="1" s="1"/>
  <c r="V89" i="1"/>
  <c r="AI89" i="1" s="1"/>
  <c r="U89" i="1"/>
  <c r="AH89" i="1" s="1"/>
  <c r="T89" i="1"/>
  <c r="AG89" i="1" s="1"/>
  <c r="S89" i="1"/>
  <c r="AF89" i="1" s="1"/>
  <c r="N89" i="1"/>
  <c r="AA89" i="1" s="1"/>
  <c r="AN89" i="1" s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E88" i="1"/>
  <c r="AD88" i="1"/>
  <c r="AC88" i="1"/>
  <c r="AB88" i="1"/>
  <c r="Z88" i="1"/>
  <c r="AM88" i="1" s="1"/>
  <c r="Y88" i="1"/>
  <c r="AL88" i="1" s="1"/>
  <c r="X88" i="1"/>
  <c r="AK88" i="1" s="1"/>
  <c r="W88" i="1"/>
  <c r="AJ88" i="1" s="1"/>
  <c r="V88" i="1"/>
  <c r="AI88" i="1" s="1"/>
  <c r="U88" i="1"/>
  <c r="AH88" i="1" s="1"/>
  <c r="T88" i="1"/>
  <c r="AG88" i="1" s="1"/>
  <c r="S88" i="1"/>
  <c r="AF88" i="1" s="1"/>
  <c r="N88" i="1"/>
  <c r="AA88" i="1" s="1"/>
  <c r="AN88" i="1" s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E87" i="1"/>
  <c r="AD87" i="1"/>
  <c r="AC87" i="1"/>
  <c r="AB87" i="1"/>
  <c r="Z87" i="1"/>
  <c r="AM87" i="1" s="1"/>
  <c r="Y87" i="1"/>
  <c r="AL87" i="1" s="1"/>
  <c r="X87" i="1"/>
  <c r="AK87" i="1" s="1"/>
  <c r="W87" i="1"/>
  <c r="AJ87" i="1" s="1"/>
  <c r="V87" i="1"/>
  <c r="AI87" i="1" s="1"/>
  <c r="U87" i="1"/>
  <c r="AH87" i="1" s="1"/>
  <c r="T87" i="1"/>
  <c r="AG87" i="1" s="1"/>
  <c r="S87" i="1"/>
  <c r="AF87" i="1" s="1"/>
  <c r="N87" i="1"/>
  <c r="AA87" i="1" s="1"/>
  <c r="AN87" i="1" s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E86" i="1"/>
  <c r="AD86" i="1"/>
  <c r="AC86" i="1"/>
  <c r="AB86" i="1"/>
  <c r="Z86" i="1"/>
  <c r="AM86" i="1" s="1"/>
  <c r="Y86" i="1"/>
  <c r="AL86" i="1" s="1"/>
  <c r="X86" i="1"/>
  <c r="AK86" i="1" s="1"/>
  <c r="W86" i="1"/>
  <c r="AJ86" i="1" s="1"/>
  <c r="V86" i="1"/>
  <c r="AI86" i="1" s="1"/>
  <c r="U86" i="1"/>
  <c r="AH86" i="1" s="1"/>
  <c r="T86" i="1"/>
  <c r="AG86" i="1" s="1"/>
  <c r="S86" i="1"/>
  <c r="AF86" i="1" s="1"/>
  <c r="N86" i="1"/>
  <c r="AA86" i="1" s="1"/>
  <c r="AN86" i="1" s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AN85" i="1" s="1"/>
  <c r="Z85" i="1"/>
  <c r="Y85" i="1"/>
  <c r="X85" i="1"/>
  <c r="W85" i="1"/>
  <c r="V85" i="1"/>
  <c r="U85" i="1"/>
  <c r="T85" i="1"/>
  <c r="S85" i="1"/>
  <c r="N85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E84" i="1"/>
  <c r="AD84" i="1"/>
  <c r="AC84" i="1"/>
  <c r="AB84" i="1"/>
  <c r="Z84" i="1"/>
  <c r="AM84" i="1" s="1"/>
  <c r="Y84" i="1"/>
  <c r="AL84" i="1" s="1"/>
  <c r="X84" i="1"/>
  <c r="AK84" i="1" s="1"/>
  <c r="W84" i="1"/>
  <c r="AJ84" i="1" s="1"/>
  <c r="V84" i="1"/>
  <c r="AI84" i="1" s="1"/>
  <c r="U84" i="1"/>
  <c r="AH84" i="1" s="1"/>
  <c r="T84" i="1"/>
  <c r="AG84" i="1" s="1"/>
  <c r="S84" i="1"/>
  <c r="AF84" i="1" s="1"/>
  <c r="N84" i="1"/>
  <c r="AA84" i="1" s="1"/>
  <c r="AN84" i="1" s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E83" i="1"/>
  <c r="AD83" i="1"/>
  <c r="AC83" i="1"/>
  <c r="AB83" i="1"/>
  <c r="Z83" i="1"/>
  <c r="AM83" i="1" s="1"/>
  <c r="Y83" i="1"/>
  <c r="AL83" i="1" s="1"/>
  <c r="X83" i="1"/>
  <c r="AK83" i="1" s="1"/>
  <c r="W83" i="1"/>
  <c r="AJ83" i="1" s="1"/>
  <c r="V83" i="1"/>
  <c r="AI83" i="1" s="1"/>
  <c r="U83" i="1"/>
  <c r="AH83" i="1" s="1"/>
  <c r="T83" i="1"/>
  <c r="AG83" i="1" s="1"/>
  <c r="S83" i="1"/>
  <c r="AF83" i="1" s="1"/>
  <c r="N83" i="1"/>
  <c r="AA83" i="1" s="1"/>
  <c r="AN83" i="1" s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E82" i="1"/>
  <c r="AD82" i="1"/>
  <c r="AC82" i="1"/>
  <c r="AB82" i="1"/>
  <c r="Z82" i="1"/>
  <c r="AM82" i="1" s="1"/>
  <c r="Y82" i="1"/>
  <c r="AL82" i="1" s="1"/>
  <c r="X82" i="1"/>
  <c r="AK82" i="1" s="1"/>
  <c r="W82" i="1"/>
  <c r="AJ82" i="1" s="1"/>
  <c r="V82" i="1"/>
  <c r="AI82" i="1" s="1"/>
  <c r="U82" i="1"/>
  <c r="AH82" i="1" s="1"/>
  <c r="T82" i="1"/>
  <c r="AG82" i="1" s="1"/>
  <c r="S82" i="1"/>
  <c r="AF82" i="1" s="1"/>
  <c r="N82" i="1"/>
  <c r="AA82" i="1" s="1"/>
  <c r="AN82" i="1" s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E81" i="1"/>
  <c r="AD81" i="1"/>
  <c r="AC81" i="1"/>
  <c r="AB81" i="1"/>
  <c r="Z81" i="1"/>
  <c r="AM81" i="1" s="1"/>
  <c r="Y81" i="1"/>
  <c r="AL81" i="1" s="1"/>
  <c r="X81" i="1"/>
  <c r="AK81" i="1" s="1"/>
  <c r="W81" i="1"/>
  <c r="AJ81" i="1" s="1"/>
  <c r="V81" i="1"/>
  <c r="AI81" i="1" s="1"/>
  <c r="U81" i="1"/>
  <c r="AH81" i="1" s="1"/>
  <c r="T81" i="1"/>
  <c r="AG81" i="1" s="1"/>
  <c r="S81" i="1"/>
  <c r="AF81" i="1" s="1"/>
  <c r="N81" i="1"/>
  <c r="AA81" i="1" s="1"/>
  <c r="AN81" i="1" s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E80" i="1"/>
  <c r="AD80" i="1"/>
  <c r="AC80" i="1"/>
  <c r="AB80" i="1"/>
  <c r="Z80" i="1"/>
  <c r="AM80" i="1" s="1"/>
  <c r="Y80" i="1"/>
  <c r="AL80" i="1" s="1"/>
  <c r="X80" i="1"/>
  <c r="AK80" i="1" s="1"/>
  <c r="W80" i="1"/>
  <c r="AJ80" i="1" s="1"/>
  <c r="V80" i="1"/>
  <c r="AI80" i="1" s="1"/>
  <c r="U80" i="1"/>
  <c r="AH80" i="1" s="1"/>
  <c r="T80" i="1"/>
  <c r="AG80" i="1" s="1"/>
  <c r="S80" i="1"/>
  <c r="AF80" i="1" s="1"/>
  <c r="N80" i="1"/>
  <c r="AA80" i="1" s="1"/>
  <c r="AN80" i="1" s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E79" i="1"/>
  <c r="AD79" i="1"/>
  <c r="AC79" i="1"/>
  <c r="AB79" i="1"/>
  <c r="Z79" i="1"/>
  <c r="AM79" i="1" s="1"/>
  <c r="Y79" i="1"/>
  <c r="AL79" i="1" s="1"/>
  <c r="X79" i="1"/>
  <c r="AK79" i="1" s="1"/>
  <c r="W79" i="1"/>
  <c r="AJ79" i="1" s="1"/>
  <c r="V79" i="1"/>
  <c r="AI79" i="1" s="1"/>
  <c r="U79" i="1"/>
  <c r="AH79" i="1" s="1"/>
  <c r="T79" i="1"/>
  <c r="AG79" i="1" s="1"/>
  <c r="S79" i="1"/>
  <c r="AF79" i="1" s="1"/>
  <c r="N79" i="1"/>
  <c r="AA79" i="1" s="1"/>
  <c r="AN79" i="1" s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E78" i="1"/>
  <c r="AD78" i="1"/>
  <c r="AC78" i="1"/>
  <c r="AB78" i="1"/>
  <c r="Z78" i="1"/>
  <c r="AM78" i="1" s="1"/>
  <c r="Y78" i="1"/>
  <c r="AL78" i="1" s="1"/>
  <c r="X78" i="1"/>
  <c r="AK78" i="1" s="1"/>
  <c r="W78" i="1"/>
  <c r="AJ78" i="1" s="1"/>
  <c r="V78" i="1"/>
  <c r="AI78" i="1" s="1"/>
  <c r="U78" i="1"/>
  <c r="AH78" i="1" s="1"/>
  <c r="T78" i="1"/>
  <c r="AG78" i="1" s="1"/>
  <c r="S78" i="1"/>
  <c r="AF78" i="1" s="1"/>
  <c r="N78" i="1"/>
  <c r="AA78" i="1" s="1"/>
  <c r="AN78" i="1" s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E77" i="1"/>
  <c r="AD77" i="1"/>
  <c r="AC77" i="1"/>
  <c r="AB77" i="1"/>
  <c r="Z77" i="1"/>
  <c r="AM77" i="1" s="1"/>
  <c r="Y77" i="1"/>
  <c r="AL77" i="1" s="1"/>
  <c r="X77" i="1"/>
  <c r="AK77" i="1" s="1"/>
  <c r="W77" i="1"/>
  <c r="AJ77" i="1" s="1"/>
  <c r="V77" i="1"/>
  <c r="AI77" i="1" s="1"/>
  <c r="U77" i="1"/>
  <c r="AH77" i="1" s="1"/>
  <c r="T77" i="1"/>
  <c r="AG77" i="1" s="1"/>
  <c r="S77" i="1"/>
  <c r="AF77" i="1" s="1"/>
  <c r="N77" i="1"/>
  <c r="AA77" i="1" s="1"/>
  <c r="AN77" i="1" s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E76" i="1"/>
  <c r="AD76" i="1"/>
  <c r="AC76" i="1"/>
  <c r="AB76" i="1"/>
  <c r="Z76" i="1"/>
  <c r="AM76" i="1" s="1"/>
  <c r="Y76" i="1"/>
  <c r="AL76" i="1" s="1"/>
  <c r="X76" i="1"/>
  <c r="AK76" i="1" s="1"/>
  <c r="W76" i="1"/>
  <c r="AJ76" i="1" s="1"/>
  <c r="V76" i="1"/>
  <c r="AI76" i="1" s="1"/>
  <c r="U76" i="1"/>
  <c r="AH76" i="1" s="1"/>
  <c r="T76" i="1"/>
  <c r="AG76" i="1" s="1"/>
  <c r="S76" i="1"/>
  <c r="AF76" i="1" s="1"/>
  <c r="N76" i="1"/>
  <c r="AA76" i="1" s="1"/>
  <c r="AN76" i="1" s="1"/>
  <c r="AZ75" i="1"/>
  <c r="AY75" i="1"/>
  <c r="AX75" i="1"/>
  <c r="AW75" i="1"/>
  <c r="AV75" i="1"/>
  <c r="AU75" i="1"/>
  <c r="AT75" i="1"/>
  <c r="AS75" i="1"/>
  <c r="AR75" i="1"/>
  <c r="AQ75" i="1"/>
  <c r="AP75" i="1"/>
  <c r="AO75" i="1"/>
  <c r="Z75" i="1"/>
  <c r="Y75" i="1"/>
  <c r="X75" i="1"/>
  <c r="W75" i="1"/>
  <c r="V75" i="1"/>
  <c r="U75" i="1"/>
  <c r="T75" i="1"/>
  <c r="S75" i="1"/>
  <c r="N75" i="1"/>
  <c r="AA75" i="1" s="1"/>
  <c r="AN75" i="1" s="1"/>
  <c r="AZ74" i="1"/>
  <c r="AY74" i="1"/>
  <c r="AX74" i="1"/>
  <c r="AW74" i="1"/>
  <c r="AV74" i="1"/>
  <c r="AU74" i="1"/>
  <c r="AT74" i="1"/>
  <c r="AS74" i="1"/>
  <c r="AR74" i="1"/>
  <c r="AQ74" i="1"/>
  <c r="AP74" i="1"/>
  <c r="AO74" i="1"/>
  <c r="Z74" i="1"/>
  <c r="Y74" i="1"/>
  <c r="X74" i="1"/>
  <c r="W74" i="1"/>
  <c r="V74" i="1"/>
  <c r="U74" i="1"/>
  <c r="T74" i="1"/>
  <c r="S74" i="1"/>
  <c r="N74" i="1"/>
  <c r="AA74" i="1" s="1"/>
  <c r="AN74" i="1" s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E73" i="1"/>
  <c r="AD73" i="1"/>
  <c r="AC73" i="1"/>
  <c r="AB73" i="1"/>
  <c r="Z73" i="1"/>
  <c r="AM73" i="1" s="1"/>
  <c r="Y73" i="1"/>
  <c r="AL73" i="1" s="1"/>
  <c r="X73" i="1"/>
  <c r="AK73" i="1" s="1"/>
  <c r="W73" i="1"/>
  <c r="AJ73" i="1" s="1"/>
  <c r="V73" i="1"/>
  <c r="AI73" i="1" s="1"/>
  <c r="U73" i="1"/>
  <c r="AH73" i="1" s="1"/>
  <c r="T73" i="1"/>
  <c r="AG73" i="1" s="1"/>
  <c r="S73" i="1"/>
  <c r="AF73" i="1" s="1"/>
  <c r="N73" i="1"/>
  <c r="AA73" i="1" s="1"/>
  <c r="AN73" i="1" s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E72" i="1"/>
  <c r="AD72" i="1"/>
  <c r="AC72" i="1"/>
  <c r="AB72" i="1"/>
  <c r="Z72" i="1"/>
  <c r="AM72" i="1" s="1"/>
  <c r="Y72" i="1"/>
  <c r="AL72" i="1" s="1"/>
  <c r="X72" i="1"/>
  <c r="AK72" i="1" s="1"/>
  <c r="W72" i="1"/>
  <c r="AJ72" i="1" s="1"/>
  <c r="V72" i="1"/>
  <c r="AI72" i="1" s="1"/>
  <c r="U72" i="1"/>
  <c r="AH72" i="1" s="1"/>
  <c r="T72" i="1"/>
  <c r="AG72" i="1" s="1"/>
  <c r="S72" i="1"/>
  <c r="AF72" i="1" s="1"/>
  <c r="N72" i="1"/>
  <c r="AA72" i="1" s="1"/>
  <c r="AN72" i="1" s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E71" i="1"/>
  <c r="AD71" i="1"/>
  <c r="AC71" i="1"/>
  <c r="AB71" i="1"/>
  <c r="Z71" i="1"/>
  <c r="AM71" i="1" s="1"/>
  <c r="Y71" i="1"/>
  <c r="AL71" i="1" s="1"/>
  <c r="X71" i="1"/>
  <c r="AK71" i="1" s="1"/>
  <c r="W71" i="1"/>
  <c r="AJ71" i="1" s="1"/>
  <c r="V71" i="1"/>
  <c r="AI71" i="1" s="1"/>
  <c r="U71" i="1"/>
  <c r="AH71" i="1" s="1"/>
  <c r="T71" i="1"/>
  <c r="AG71" i="1" s="1"/>
  <c r="S71" i="1"/>
  <c r="AF71" i="1" s="1"/>
  <c r="N71" i="1"/>
  <c r="AA71" i="1" s="1"/>
  <c r="AN71" i="1" s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E70" i="1"/>
  <c r="AD70" i="1"/>
  <c r="AC70" i="1"/>
  <c r="AB70" i="1"/>
  <c r="Z70" i="1"/>
  <c r="AM70" i="1" s="1"/>
  <c r="Y70" i="1"/>
  <c r="AL70" i="1" s="1"/>
  <c r="X70" i="1"/>
  <c r="AK70" i="1" s="1"/>
  <c r="W70" i="1"/>
  <c r="AJ70" i="1" s="1"/>
  <c r="V70" i="1"/>
  <c r="AI70" i="1" s="1"/>
  <c r="U70" i="1"/>
  <c r="AH70" i="1" s="1"/>
  <c r="T70" i="1"/>
  <c r="AG70" i="1" s="1"/>
  <c r="S70" i="1"/>
  <c r="AF70" i="1" s="1"/>
  <c r="N70" i="1"/>
  <c r="AA70" i="1" s="1"/>
  <c r="AN70" i="1" s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E69" i="1"/>
  <c r="AD69" i="1"/>
  <c r="AC69" i="1"/>
  <c r="AB69" i="1"/>
  <c r="Z69" i="1"/>
  <c r="AM69" i="1" s="1"/>
  <c r="Y69" i="1"/>
  <c r="AL69" i="1" s="1"/>
  <c r="X69" i="1"/>
  <c r="AK69" i="1" s="1"/>
  <c r="W69" i="1"/>
  <c r="AJ69" i="1" s="1"/>
  <c r="V69" i="1"/>
  <c r="AI69" i="1" s="1"/>
  <c r="U69" i="1"/>
  <c r="AH69" i="1" s="1"/>
  <c r="T69" i="1"/>
  <c r="AG69" i="1" s="1"/>
  <c r="S69" i="1"/>
  <c r="AF69" i="1" s="1"/>
  <c r="N69" i="1"/>
  <c r="AA69" i="1" s="1"/>
  <c r="AN69" i="1" s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E68" i="1"/>
  <c r="AD68" i="1"/>
  <c r="AC68" i="1"/>
  <c r="AB68" i="1"/>
  <c r="Z68" i="1"/>
  <c r="AM68" i="1" s="1"/>
  <c r="Y68" i="1"/>
  <c r="AL68" i="1" s="1"/>
  <c r="X68" i="1"/>
  <c r="AK68" i="1" s="1"/>
  <c r="W68" i="1"/>
  <c r="AJ68" i="1" s="1"/>
  <c r="V68" i="1"/>
  <c r="AI68" i="1" s="1"/>
  <c r="U68" i="1"/>
  <c r="AH68" i="1" s="1"/>
  <c r="T68" i="1"/>
  <c r="AG68" i="1" s="1"/>
  <c r="S68" i="1"/>
  <c r="AF68" i="1" s="1"/>
  <c r="N68" i="1"/>
  <c r="AA68" i="1" s="1"/>
  <c r="AN68" i="1" s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E67" i="1"/>
  <c r="AD67" i="1"/>
  <c r="AC67" i="1"/>
  <c r="AB67" i="1"/>
  <c r="Z67" i="1"/>
  <c r="AM67" i="1" s="1"/>
  <c r="Y67" i="1"/>
  <c r="AL67" i="1" s="1"/>
  <c r="X67" i="1"/>
  <c r="AK67" i="1" s="1"/>
  <c r="W67" i="1"/>
  <c r="AJ67" i="1" s="1"/>
  <c r="V67" i="1"/>
  <c r="AI67" i="1" s="1"/>
  <c r="U67" i="1"/>
  <c r="AH67" i="1" s="1"/>
  <c r="T67" i="1"/>
  <c r="AG67" i="1" s="1"/>
  <c r="S67" i="1"/>
  <c r="AF67" i="1" s="1"/>
  <c r="N67" i="1"/>
  <c r="AA67" i="1" s="1"/>
  <c r="AN67" i="1" s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E66" i="1"/>
  <c r="AD66" i="1"/>
  <c r="AC66" i="1"/>
  <c r="AB66" i="1"/>
  <c r="Z66" i="1"/>
  <c r="AM66" i="1" s="1"/>
  <c r="Y66" i="1"/>
  <c r="AL66" i="1" s="1"/>
  <c r="X66" i="1"/>
  <c r="AK66" i="1" s="1"/>
  <c r="W66" i="1"/>
  <c r="AJ66" i="1" s="1"/>
  <c r="V66" i="1"/>
  <c r="AI66" i="1" s="1"/>
  <c r="U66" i="1"/>
  <c r="AH66" i="1" s="1"/>
  <c r="T66" i="1"/>
  <c r="AG66" i="1" s="1"/>
  <c r="S66" i="1"/>
  <c r="AF66" i="1" s="1"/>
  <c r="N66" i="1"/>
  <c r="AA66" i="1" s="1"/>
  <c r="AN66" i="1" s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E65" i="1"/>
  <c r="AD65" i="1"/>
  <c r="AC65" i="1"/>
  <c r="AB65" i="1"/>
  <c r="Z65" i="1"/>
  <c r="AM65" i="1" s="1"/>
  <c r="Y65" i="1"/>
  <c r="AL65" i="1" s="1"/>
  <c r="X65" i="1"/>
  <c r="AK65" i="1" s="1"/>
  <c r="W65" i="1"/>
  <c r="AJ65" i="1" s="1"/>
  <c r="V65" i="1"/>
  <c r="AI65" i="1" s="1"/>
  <c r="U65" i="1"/>
  <c r="AH65" i="1" s="1"/>
  <c r="T65" i="1"/>
  <c r="AG65" i="1" s="1"/>
  <c r="S65" i="1"/>
  <c r="AF65" i="1" s="1"/>
  <c r="N65" i="1"/>
  <c r="AA65" i="1" s="1"/>
  <c r="AN65" i="1" s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K64" i="1"/>
  <c r="AE64" i="1"/>
  <c r="AD64" i="1"/>
  <c r="AC64" i="1"/>
  <c r="AB64" i="1"/>
  <c r="Z64" i="1"/>
  <c r="AM64" i="1" s="1"/>
  <c r="Y64" i="1"/>
  <c r="AL64" i="1" s="1"/>
  <c r="X64" i="1"/>
  <c r="W64" i="1"/>
  <c r="AJ64" i="1" s="1"/>
  <c r="V64" i="1"/>
  <c r="AI64" i="1" s="1"/>
  <c r="U64" i="1"/>
  <c r="AH64" i="1" s="1"/>
  <c r="T64" i="1"/>
  <c r="AG64" i="1" s="1"/>
  <c r="S64" i="1"/>
  <c r="AF64" i="1" s="1"/>
  <c r="N64" i="1"/>
  <c r="AA64" i="1" s="1"/>
  <c r="AN64" i="1" s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E63" i="1"/>
  <c r="AD63" i="1"/>
  <c r="AC63" i="1"/>
  <c r="AB63" i="1"/>
  <c r="Z63" i="1"/>
  <c r="AM63" i="1" s="1"/>
  <c r="Y63" i="1"/>
  <c r="AL63" i="1" s="1"/>
  <c r="X63" i="1"/>
  <c r="AK63" i="1" s="1"/>
  <c r="W63" i="1"/>
  <c r="AJ63" i="1" s="1"/>
  <c r="V63" i="1"/>
  <c r="AI63" i="1" s="1"/>
  <c r="U63" i="1"/>
  <c r="AH63" i="1" s="1"/>
  <c r="T63" i="1"/>
  <c r="AG63" i="1" s="1"/>
  <c r="S63" i="1"/>
  <c r="AF63" i="1" s="1"/>
  <c r="N63" i="1"/>
  <c r="AA63" i="1" s="1"/>
  <c r="AN63" i="1" s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E62" i="1"/>
  <c r="AD62" i="1"/>
  <c r="AC62" i="1"/>
  <c r="AB62" i="1"/>
  <c r="Z62" i="1"/>
  <c r="AM62" i="1" s="1"/>
  <c r="Y62" i="1"/>
  <c r="AL62" i="1" s="1"/>
  <c r="X62" i="1"/>
  <c r="AK62" i="1" s="1"/>
  <c r="W62" i="1"/>
  <c r="AJ62" i="1" s="1"/>
  <c r="V62" i="1"/>
  <c r="AI62" i="1" s="1"/>
  <c r="U62" i="1"/>
  <c r="AH62" i="1" s="1"/>
  <c r="T62" i="1"/>
  <c r="AG62" i="1" s="1"/>
  <c r="S62" i="1"/>
  <c r="AF62" i="1" s="1"/>
  <c r="N62" i="1"/>
  <c r="AA62" i="1" s="1"/>
  <c r="AN62" i="1" s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H61" i="1"/>
  <c r="AE61" i="1"/>
  <c r="AD61" i="1"/>
  <c r="AC61" i="1"/>
  <c r="AB61" i="1"/>
  <c r="Z61" i="1"/>
  <c r="AM61" i="1" s="1"/>
  <c r="Y61" i="1"/>
  <c r="AL61" i="1" s="1"/>
  <c r="X61" i="1"/>
  <c r="AK61" i="1" s="1"/>
  <c r="W61" i="1"/>
  <c r="AJ61" i="1" s="1"/>
  <c r="V61" i="1"/>
  <c r="AI61" i="1" s="1"/>
  <c r="U61" i="1"/>
  <c r="T61" i="1"/>
  <c r="AG61" i="1" s="1"/>
  <c r="S61" i="1"/>
  <c r="AF61" i="1" s="1"/>
  <c r="N61" i="1"/>
  <c r="AA61" i="1" s="1"/>
  <c r="AN61" i="1" s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E60" i="1"/>
  <c r="AD60" i="1"/>
  <c r="AC60" i="1"/>
  <c r="AB60" i="1"/>
  <c r="Z60" i="1"/>
  <c r="AM60" i="1" s="1"/>
  <c r="Y60" i="1"/>
  <c r="AL60" i="1" s="1"/>
  <c r="X60" i="1"/>
  <c r="AK60" i="1" s="1"/>
  <c r="W60" i="1"/>
  <c r="AJ60" i="1" s="1"/>
  <c r="V60" i="1"/>
  <c r="AI60" i="1" s="1"/>
  <c r="U60" i="1"/>
  <c r="AH60" i="1" s="1"/>
  <c r="T60" i="1"/>
  <c r="AG60" i="1" s="1"/>
  <c r="S60" i="1"/>
  <c r="AF60" i="1" s="1"/>
  <c r="N60" i="1"/>
  <c r="AA60" i="1" s="1"/>
  <c r="AN60" i="1" s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E59" i="1"/>
  <c r="AD59" i="1"/>
  <c r="AC59" i="1"/>
  <c r="AB59" i="1"/>
  <c r="Z59" i="1"/>
  <c r="AM59" i="1" s="1"/>
  <c r="Y59" i="1"/>
  <c r="AL59" i="1" s="1"/>
  <c r="X59" i="1"/>
  <c r="AK59" i="1" s="1"/>
  <c r="W59" i="1"/>
  <c r="AJ59" i="1" s="1"/>
  <c r="V59" i="1"/>
  <c r="AI59" i="1" s="1"/>
  <c r="U59" i="1"/>
  <c r="AH59" i="1" s="1"/>
  <c r="T59" i="1"/>
  <c r="AG59" i="1" s="1"/>
  <c r="S59" i="1"/>
  <c r="AF59" i="1" s="1"/>
  <c r="N59" i="1"/>
  <c r="AA59" i="1" s="1"/>
  <c r="AN59" i="1" s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E58" i="1"/>
  <c r="AD58" i="1"/>
  <c r="AC58" i="1"/>
  <c r="AB58" i="1"/>
  <c r="Z58" i="1"/>
  <c r="AM58" i="1" s="1"/>
  <c r="Y58" i="1"/>
  <c r="AL58" i="1" s="1"/>
  <c r="X58" i="1"/>
  <c r="AK58" i="1" s="1"/>
  <c r="W58" i="1"/>
  <c r="AJ58" i="1" s="1"/>
  <c r="V58" i="1"/>
  <c r="AI58" i="1" s="1"/>
  <c r="U58" i="1"/>
  <c r="AH58" i="1" s="1"/>
  <c r="T58" i="1"/>
  <c r="AG58" i="1" s="1"/>
  <c r="S58" i="1"/>
  <c r="AF58" i="1" s="1"/>
  <c r="N58" i="1"/>
  <c r="AA58" i="1" s="1"/>
  <c r="AN58" i="1" s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E57" i="1"/>
  <c r="AD57" i="1"/>
  <c r="AC57" i="1"/>
  <c r="AB57" i="1"/>
  <c r="Z57" i="1"/>
  <c r="AM57" i="1" s="1"/>
  <c r="Y57" i="1"/>
  <c r="AL57" i="1" s="1"/>
  <c r="X57" i="1"/>
  <c r="AK57" i="1" s="1"/>
  <c r="W57" i="1"/>
  <c r="AJ57" i="1" s="1"/>
  <c r="V57" i="1"/>
  <c r="AI57" i="1" s="1"/>
  <c r="U57" i="1"/>
  <c r="AH57" i="1" s="1"/>
  <c r="T57" i="1"/>
  <c r="AG57" i="1" s="1"/>
  <c r="S57" i="1"/>
  <c r="AF57" i="1" s="1"/>
  <c r="N57" i="1"/>
  <c r="AA57" i="1" s="1"/>
  <c r="AN57" i="1" s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E56" i="1"/>
  <c r="AD56" i="1"/>
  <c r="AC56" i="1"/>
  <c r="AB56" i="1"/>
  <c r="Z56" i="1"/>
  <c r="AM56" i="1" s="1"/>
  <c r="Y56" i="1"/>
  <c r="AL56" i="1" s="1"/>
  <c r="X56" i="1"/>
  <c r="AK56" i="1" s="1"/>
  <c r="W56" i="1"/>
  <c r="AJ56" i="1" s="1"/>
  <c r="V56" i="1"/>
  <c r="AI56" i="1" s="1"/>
  <c r="U56" i="1"/>
  <c r="AH56" i="1" s="1"/>
  <c r="T56" i="1"/>
  <c r="AG56" i="1" s="1"/>
  <c r="S56" i="1"/>
  <c r="AF56" i="1" s="1"/>
  <c r="N56" i="1"/>
  <c r="AA56" i="1" s="1"/>
  <c r="AN56" i="1" s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E55" i="1"/>
  <c r="AD55" i="1"/>
  <c r="AC55" i="1"/>
  <c r="AB55" i="1"/>
  <c r="Z55" i="1"/>
  <c r="AM55" i="1" s="1"/>
  <c r="Y55" i="1"/>
  <c r="AL55" i="1" s="1"/>
  <c r="X55" i="1"/>
  <c r="AK55" i="1" s="1"/>
  <c r="W55" i="1"/>
  <c r="AJ55" i="1" s="1"/>
  <c r="V55" i="1"/>
  <c r="AI55" i="1" s="1"/>
  <c r="U55" i="1"/>
  <c r="AH55" i="1" s="1"/>
  <c r="T55" i="1"/>
  <c r="AG55" i="1" s="1"/>
  <c r="S55" i="1"/>
  <c r="AF55" i="1" s="1"/>
  <c r="N55" i="1"/>
  <c r="AA55" i="1" s="1"/>
  <c r="AN55" i="1" s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E54" i="1"/>
  <c r="AD54" i="1"/>
  <c r="AC54" i="1"/>
  <c r="AB54" i="1"/>
  <c r="Z54" i="1"/>
  <c r="AM54" i="1" s="1"/>
  <c r="Y54" i="1"/>
  <c r="AL54" i="1" s="1"/>
  <c r="X54" i="1"/>
  <c r="AK54" i="1" s="1"/>
  <c r="W54" i="1"/>
  <c r="AJ54" i="1" s="1"/>
  <c r="V54" i="1"/>
  <c r="AI54" i="1" s="1"/>
  <c r="U54" i="1"/>
  <c r="AH54" i="1" s="1"/>
  <c r="T54" i="1"/>
  <c r="AG54" i="1" s="1"/>
  <c r="S54" i="1"/>
  <c r="AF54" i="1" s="1"/>
  <c r="N54" i="1"/>
  <c r="AA54" i="1" s="1"/>
  <c r="AN54" i="1" s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E53" i="1"/>
  <c r="AD53" i="1"/>
  <c r="AC53" i="1"/>
  <c r="AB53" i="1"/>
  <c r="Z53" i="1"/>
  <c r="AM53" i="1" s="1"/>
  <c r="Y53" i="1"/>
  <c r="AL53" i="1" s="1"/>
  <c r="X53" i="1"/>
  <c r="AK53" i="1" s="1"/>
  <c r="W53" i="1"/>
  <c r="AJ53" i="1" s="1"/>
  <c r="V53" i="1"/>
  <c r="AI53" i="1" s="1"/>
  <c r="U53" i="1"/>
  <c r="AH53" i="1" s="1"/>
  <c r="T53" i="1"/>
  <c r="AG53" i="1" s="1"/>
  <c r="S53" i="1"/>
  <c r="AF53" i="1" s="1"/>
  <c r="N53" i="1"/>
  <c r="AA53" i="1" s="1"/>
  <c r="AN53" i="1" s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E52" i="1"/>
  <c r="AD52" i="1"/>
  <c r="AC52" i="1"/>
  <c r="AB52" i="1"/>
  <c r="Z52" i="1"/>
  <c r="AM52" i="1" s="1"/>
  <c r="Y52" i="1"/>
  <c r="AL52" i="1" s="1"/>
  <c r="X52" i="1"/>
  <c r="AK52" i="1" s="1"/>
  <c r="W52" i="1"/>
  <c r="AJ52" i="1" s="1"/>
  <c r="V52" i="1"/>
  <c r="AI52" i="1" s="1"/>
  <c r="U52" i="1"/>
  <c r="AH52" i="1" s="1"/>
  <c r="T52" i="1"/>
  <c r="AG52" i="1" s="1"/>
  <c r="S52" i="1"/>
  <c r="AF52" i="1" s="1"/>
  <c r="N52" i="1"/>
  <c r="AA52" i="1" s="1"/>
  <c r="AN52" i="1" s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E51" i="1"/>
  <c r="AD51" i="1"/>
  <c r="AC51" i="1"/>
  <c r="AB51" i="1"/>
  <c r="Z51" i="1"/>
  <c r="AM51" i="1" s="1"/>
  <c r="Y51" i="1"/>
  <c r="AL51" i="1" s="1"/>
  <c r="X51" i="1"/>
  <c r="AK51" i="1" s="1"/>
  <c r="W51" i="1"/>
  <c r="AJ51" i="1" s="1"/>
  <c r="V51" i="1"/>
  <c r="AI51" i="1" s="1"/>
  <c r="U51" i="1"/>
  <c r="AH51" i="1" s="1"/>
  <c r="T51" i="1"/>
  <c r="AG51" i="1" s="1"/>
  <c r="S51" i="1"/>
  <c r="AF51" i="1" s="1"/>
  <c r="N51" i="1"/>
  <c r="AA51" i="1" s="1"/>
  <c r="AN51" i="1" s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E50" i="1"/>
  <c r="AD50" i="1"/>
  <c r="AC50" i="1"/>
  <c r="AB50" i="1"/>
  <c r="Z50" i="1"/>
  <c r="AM50" i="1" s="1"/>
  <c r="Y50" i="1"/>
  <c r="AL50" i="1" s="1"/>
  <c r="X50" i="1"/>
  <c r="AK50" i="1" s="1"/>
  <c r="W50" i="1"/>
  <c r="AJ50" i="1" s="1"/>
  <c r="V50" i="1"/>
  <c r="AI50" i="1" s="1"/>
  <c r="U50" i="1"/>
  <c r="AH50" i="1" s="1"/>
  <c r="T50" i="1"/>
  <c r="AG50" i="1" s="1"/>
  <c r="S50" i="1"/>
  <c r="AF50" i="1" s="1"/>
  <c r="N50" i="1"/>
  <c r="AA50" i="1" s="1"/>
  <c r="AN50" i="1" s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E49" i="1"/>
  <c r="AD49" i="1"/>
  <c r="AC49" i="1"/>
  <c r="AB49" i="1"/>
  <c r="Z49" i="1"/>
  <c r="AM49" i="1" s="1"/>
  <c r="Y49" i="1"/>
  <c r="AL49" i="1" s="1"/>
  <c r="X49" i="1"/>
  <c r="AK49" i="1" s="1"/>
  <c r="W49" i="1"/>
  <c r="AJ49" i="1" s="1"/>
  <c r="V49" i="1"/>
  <c r="AI49" i="1" s="1"/>
  <c r="U49" i="1"/>
  <c r="AH49" i="1" s="1"/>
  <c r="T49" i="1"/>
  <c r="AG49" i="1" s="1"/>
  <c r="S49" i="1"/>
  <c r="AF49" i="1" s="1"/>
  <c r="N49" i="1"/>
  <c r="AA49" i="1" s="1"/>
  <c r="AN49" i="1" s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E48" i="1"/>
  <c r="AD48" i="1"/>
  <c r="AC48" i="1"/>
  <c r="AB48" i="1"/>
  <c r="Z48" i="1"/>
  <c r="AM48" i="1" s="1"/>
  <c r="Y48" i="1"/>
  <c r="AL48" i="1" s="1"/>
  <c r="X48" i="1"/>
  <c r="AK48" i="1" s="1"/>
  <c r="W48" i="1"/>
  <c r="AJ48" i="1" s="1"/>
  <c r="V48" i="1"/>
  <c r="AI48" i="1" s="1"/>
  <c r="U48" i="1"/>
  <c r="AH48" i="1" s="1"/>
  <c r="T48" i="1"/>
  <c r="AG48" i="1" s="1"/>
  <c r="S48" i="1"/>
  <c r="AF48" i="1" s="1"/>
  <c r="N48" i="1"/>
  <c r="AA48" i="1" s="1"/>
  <c r="AN48" i="1" s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E47" i="1"/>
  <c r="AD47" i="1"/>
  <c r="AC47" i="1"/>
  <c r="AB47" i="1"/>
  <c r="Z47" i="1"/>
  <c r="AM47" i="1" s="1"/>
  <c r="Y47" i="1"/>
  <c r="AL47" i="1" s="1"/>
  <c r="X47" i="1"/>
  <c r="AK47" i="1" s="1"/>
  <c r="W47" i="1"/>
  <c r="AJ47" i="1" s="1"/>
  <c r="V47" i="1"/>
  <c r="AI47" i="1" s="1"/>
  <c r="U47" i="1"/>
  <c r="AH47" i="1" s="1"/>
  <c r="T47" i="1"/>
  <c r="AG47" i="1" s="1"/>
  <c r="S47" i="1"/>
  <c r="AF47" i="1" s="1"/>
  <c r="N47" i="1"/>
  <c r="AA47" i="1" s="1"/>
  <c r="AN47" i="1" s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E46" i="1"/>
  <c r="AD46" i="1"/>
  <c r="AC46" i="1"/>
  <c r="AB46" i="1"/>
  <c r="Z46" i="1"/>
  <c r="AM46" i="1" s="1"/>
  <c r="Y46" i="1"/>
  <c r="AL46" i="1" s="1"/>
  <c r="X46" i="1"/>
  <c r="AK46" i="1" s="1"/>
  <c r="W46" i="1"/>
  <c r="AJ46" i="1" s="1"/>
  <c r="V46" i="1"/>
  <c r="AI46" i="1" s="1"/>
  <c r="U46" i="1"/>
  <c r="AH46" i="1" s="1"/>
  <c r="T46" i="1"/>
  <c r="AG46" i="1" s="1"/>
  <c r="S46" i="1"/>
  <c r="AF46" i="1" s="1"/>
  <c r="N46" i="1"/>
  <c r="AA46" i="1" s="1"/>
  <c r="AN46" i="1" s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E45" i="1"/>
  <c r="AD45" i="1"/>
  <c r="AC45" i="1"/>
  <c r="Z45" i="1"/>
  <c r="AM45" i="1" s="1"/>
  <c r="Y45" i="1"/>
  <c r="AL45" i="1" s="1"/>
  <c r="X45" i="1"/>
  <c r="AK45" i="1" s="1"/>
  <c r="W45" i="1"/>
  <c r="AJ45" i="1" s="1"/>
  <c r="V45" i="1"/>
  <c r="AI45" i="1" s="1"/>
  <c r="U45" i="1"/>
  <c r="AH45" i="1" s="1"/>
  <c r="T45" i="1"/>
  <c r="AG45" i="1" s="1"/>
  <c r="S45" i="1"/>
  <c r="AF45" i="1" s="1"/>
  <c r="O45" i="1"/>
  <c r="AB45" i="1" s="1"/>
  <c r="AB39" i="1" s="1"/>
  <c r="N45" i="1"/>
  <c r="AA45" i="1" s="1"/>
  <c r="AN45" i="1" s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E44" i="1"/>
  <c r="AD44" i="1"/>
  <c r="AC44" i="1"/>
  <c r="AB44" i="1"/>
  <c r="Z44" i="1"/>
  <c r="AM44" i="1" s="1"/>
  <c r="Y44" i="1"/>
  <c r="AL44" i="1" s="1"/>
  <c r="X44" i="1"/>
  <c r="AK44" i="1" s="1"/>
  <c r="W44" i="1"/>
  <c r="AJ44" i="1" s="1"/>
  <c r="V44" i="1"/>
  <c r="AI44" i="1" s="1"/>
  <c r="U44" i="1"/>
  <c r="AH44" i="1" s="1"/>
  <c r="T44" i="1"/>
  <c r="AG44" i="1" s="1"/>
  <c r="S44" i="1"/>
  <c r="AF44" i="1" s="1"/>
  <c r="N44" i="1"/>
  <c r="AA44" i="1" s="1"/>
  <c r="AN44" i="1" s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E43" i="1"/>
  <c r="AD43" i="1"/>
  <c r="AC43" i="1"/>
  <c r="AB43" i="1"/>
  <c r="Z43" i="1"/>
  <c r="AM43" i="1" s="1"/>
  <c r="Y43" i="1"/>
  <c r="AL43" i="1" s="1"/>
  <c r="X43" i="1"/>
  <c r="AK43" i="1" s="1"/>
  <c r="W43" i="1"/>
  <c r="AJ43" i="1" s="1"/>
  <c r="V43" i="1"/>
  <c r="AI43" i="1" s="1"/>
  <c r="U43" i="1"/>
  <c r="AH43" i="1" s="1"/>
  <c r="T43" i="1"/>
  <c r="AG43" i="1" s="1"/>
  <c r="S43" i="1"/>
  <c r="AF43" i="1" s="1"/>
  <c r="N43" i="1"/>
  <c r="AA43" i="1" s="1"/>
  <c r="AN43" i="1" s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E42" i="1"/>
  <c r="AD42" i="1"/>
  <c r="AC42" i="1"/>
  <c r="AB42" i="1"/>
  <c r="Z42" i="1"/>
  <c r="AM42" i="1" s="1"/>
  <c r="Y42" i="1"/>
  <c r="AL42" i="1" s="1"/>
  <c r="X42" i="1"/>
  <c r="AK42" i="1" s="1"/>
  <c r="W42" i="1"/>
  <c r="AJ42" i="1" s="1"/>
  <c r="V42" i="1"/>
  <c r="AI42" i="1" s="1"/>
  <c r="U42" i="1"/>
  <c r="AH42" i="1" s="1"/>
  <c r="T42" i="1"/>
  <c r="AG42" i="1" s="1"/>
  <c r="S42" i="1"/>
  <c r="AF42" i="1" s="1"/>
  <c r="N42" i="1"/>
  <c r="AA42" i="1" s="1"/>
  <c r="AN42" i="1" s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E41" i="1"/>
  <c r="AD41" i="1"/>
  <c r="AC41" i="1"/>
  <c r="AB41" i="1"/>
  <c r="Z41" i="1"/>
  <c r="AM41" i="1" s="1"/>
  <c r="Y41" i="1"/>
  <c r="AL41" i="1" s="1"/>
  <c r="X41" i="1"/>
  <c r="AK41" i="1" s="1"/>
  <c r="W41" i="1"/>
  <c r="AJ41" i="1" s="1"/>
  <c r="V41" i="1"/>
  <c r="AI41" i="1" s="1"/>
  <c r="U41" i="1"/>
  <c r="AH41" i="1" s="1"/>
  <c r="T41" i="1"/>
  <c r="AG41" i="1" s="1"/>
  <c r="S41" i="1"/>
  <c r="AF41" i="1" s="1"/>
  <c r="N41" i="1"/>
  <c r="AA41" i="1" s="1"/>
  <c r="AN41" i="1" s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E40" i="1"/>
  <c r="AD40" i="1"/>
  <c r="AC40" i="1"/>
  <c r="AB40" i="1"/>
  <c r="Z40" i="1"/>
  <c r="AM40" i="1" s="1"/>
  <c r="Y40" i="1"/>
  <c r="AL40" i="1" s="1"/>
  <c r="X40" i="1"/>
  <c r="AK40" i="1" s="1"/>
  <c r="W40" i="1"/>
  <c r="AJ40" i="1" s="1"/>
  <c r="V40" i="1"/>
  <c r="AI40" i="1" s="1"/>
  <c r="U40" i="1"/>
  <c r="AH40" i="1" s="1"/>
  <c r="T40" i="1"/>
  <c r="AG40" i="1" s="1"/>
  <c r="S40" i="1"/>
  <c r="AF40" i="1" s="1"/>
  <c r="N40" i="1"/>
  <c r="AA40" i="1" s="1"/>
  <c r="AN40" i="1" s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E39" i="1"/>
  <c r="AD39" i="1"/>
  <c r="AC39" i="1"/>
  <c r="M39" i="1"/>
  <c r="L39" i="1"/>
  <c r="K39" i="1"/>
  <c r="J39" i="1"/>
  <c r="I39" i="1"/>
  <c r="H39" i="1"/>
  <c r="G39" i="1"/>
  <c r="F39" i="1"/>
  <c r="E39" i="1"/>
  <c r="D39" i="1"/>
  <c r="C39" i="1"/>
  <c r="B39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N37" i="1"/>
  <c r="AA37" i="1" s="1"/>
  <c r="AN37" i="1" s="1"/>
  <c r="AZ36" i="1"/>
  <c r="AY36" i="1"/>
  <c r="AX36" i="1"/>
  <c r="AW36" i="1"/>
  <c r="AV36" i="1"/>
  <c r="AU36" i="1"/>
  <c r="AT36" i="1"/>
  <c r="AS36" i="1"/>
  <c r="AR36" i="1"/>
  <c r="AQ36" i="1"/>
  <c r="AP36" i="1"/>
  <c r="AO36" i="1"/>
  <c r="N36" i="1"/>
  <c r="AA36" i="1" s="1"/>
  <c r="AN36" i="1" s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N35" i="1"/>
  <c r="AA35" i="1" s="1"/>
  <c r="AN35" i="1" s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N34" i="1"/>
  <c r="AA34" i="1" s="1"/>
  <c r="AN34" i="1" s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N33" i="1"/>
  <c r="AA33" i="1" s="1"/>
  <c r="AN33" i="1" s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N32" i="1"/>
  <c r="AA32" i="1" s="1"/>
  <c r="AN32" i="1" s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N31" i="1"/>
  <c r="AA31" i="1" s="1"/>
  <c r="AN31" i="1" s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N30" i="1"/>
  <c r="AA30" i="1" s="1"/>
  <c r="AN30" i="1" s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N29" i="1"/>
  <c r="AA29" i="1" s="1"/>
  <c r="AN29" i="1" s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N28" i="1"/>
  <c r="AA28" i="1" s="1"/>
  <c r="AN28" i="1" s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N27" i="1"/>
  <c r="AA27" i="1" s="1"/>
  <c r="AN27" i="1" s="1"/>
  <c r="AM26" i="1"/>
  <c r="AL26" i="1"/>
  <c r="AK26" i="1"/>
  <c r="AJ26" i="1"/>
  <c r="AI26" i="1"/>
  <c r="AH26" i="1"/>
  <c r="AG26" i="1"/>
  <c r="AF26" i="1"/>
  <c r="AE26" i="1"/>
  <c r="AD26" i="1"/>
  <c r="AC26" i="1"/>
  <c r="AB26" i="1"/>
  <c r="Z26" i="1"/>
  <c r="Y26" i="1"/>
  <c r="X26" i="1"/>
  <c r="W26" i="1"/>
  <c r="V26" i="1"/>
  <c r="U26" i="1"/>
  <c r="T26" i="1"/>
  <c r="S26" i="1"/>
  <c r="R26" i="1"/>
  <c r="Q26" i="1"/>
  <c r="P26" i="1"/>
  <c r="O26" i="1"/>
  <c r="M26" i="1"/>
  <c r="L26" i="1"/>
  <c r="K26" i="1"/>
  <c r="J26" i="1"/>
  <c r="I26" i="1"/>
  <c r="H26" i="1"/>
  <c r="G26" i="1"/>
  <c r="F26" i="1"/>
  <c r="E26" i="1"/>
  <c r="D26" i="1"/>
  <c r="C26" i="1"/>
  <c r="B26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N25" i="1"/>
  <c r="AA25" i="1" s="1"/>
  <c r="AN25" i="1" s="1"/>
  <c r="AM24" i="1"/>
  <c r="AL24" i="1"/>
  <c r="AK24" i="1"/>
  <c r="AJ24" i="1"/>
  <c r="AI24" i="1"/>
  <c r="AH24" i="1"/>
  <c r="AG24" i="1"/>
  <c r="AF24" i="1"/>
  <c r="AE24" i="1"/>
  <c r="AD24" i="1"/>
  <c r="AC24" i="1"/>
  <c r="AB24" i="1"/>
  <c r="N24" i="1"/>
  <c r="AA24" i="1" s="1"/>
  <c r="AN24" i="1" s="1"/>
  <c r="AM23" i="1"/>
  <c r="AL23" i="1"/>
  <c r="AK23" i="1"/>
  <c r="AJ23" i="1"/>
  <c r="AI23" i="1"/>
  <c r="AH23" i="1"/>
  <c r="AG23" i="1"/>
  <c r="AF23" i="1"/>
  <c r="AE23" i="1"/>
  <c r="AD23" i="1"/>
  <c r="AC23" i="1"/>
  <c r="AB23" i="1"/>
  <c r="N23" i="1"/>
  <c r="AA23" i="1" s="1"/>
  <c r="AN23" i="1" s="1"/>
  <c r="AM22" i="1"/>
  <c r="AL22" i="1"/>
  <c r="AK22" i="1"/>
  <c r="AJ22" i="1"/>
  <c r="AI22" i="1"/>
  <c r="AH22" i="1"/>
  <c r="AG22" i="1"/>
  <c r="AF22" i="1"/>
  <c r="AE22" i="1"/>
  <c r="AD22" i="1"/>
  <c r="AC22" i="1"/>
  <c r="AB22" i="1"/>
  <c r="N22" i="1"/>
  <c r="AA22" i="1" s="1"/>
  <c r="AN22" i="1" s="1"/>
  <c r="AM21" i="1"/>
  <c r="AL21" i="1"/>
  <c r="AK21" i="1"/>
  <c r="AJ21" i="1"/>
  <c r="AI21" i="1"/>
  <c r="AH21" i="1"/>
  <c r="AG21" i="1"/>
  <c r="AF21" i="1"/>
  <c r="AE21" i="1"/>
  <c r="AD21" i="1"/>
  <c r="AC21" i="1"/>
  <c r="AB21" i="1"/>
  <c r="N21" i="1"/>
  <c r="AA21" i="1" s="1"/>
  <c r="AN21" i="1" s="1"/>
  <c r="AM20" i="1"/>
  <c r="AL20" i="1"/>
  <c r="AK20" i="1"/>
  <c r="AJ20" i="1"/>
  <c r="AI20" i="1"/>
  <c r="AH20" i="1"/>
  <c r="AG20" i="1"/>
  <c r="AF20" i="1"/>
  <c r="AE20" i="1"/>
  <c r="AD20" i="1"/>
  <c r="AC20" i="1"/>
  <c r="AB20" i="1"/>
  <c r="N20" i="1"/>
  <c r="AA20" i="1" s="1"/>
  <c r="AN20" i="1" s="1"/>
  <c r="AM19" i="1"/>
  <c r="AL19" i="1"/>
  <c r="AK19" i="1"/>
  <c r="AJ19" i="1"/>
  <c r="AI19" i="1"/>
  <c r="AH19" i="1"/>
  <c r="AG19" i="1"/>
  <c r="AF19" i="1"/>
  <c r="AE19" i="1"/>
  <c r="AD19" i="1"/>
  <c r="AC19" i="1"/>
  <c r="AB19" i="1"/>
  <c r="N19" i="1"/>
  <c r="AA19" i="1" s="1"/>
  <c r="AN19" i="1" s="1"/>
  <c r="AM18" i="1"/>
  <c r="AL18" i="1"/>
  <c r="AK18" i="1"/>
  <c r="AJ18" i="1"/>
  <c r="AI18" i="1"/>
  <c r="AH18" i="1"/>
  <c r="AG18" i="1"/>
  <c r="AF18" i="1"/>
  <c r="AE18" i="1"/>
  <c r="AD18" i="1"/>
  <c r="AC18" i="1"/>
  <c r="AB18" i="1"/>
  <c r="N18" i="1"/>
  <c r="AA18" i="1" s="1"/>
  <c r="AN18" i="1" s="1"/>
  <c r="AM17" i="1"/>
  <c r="AL17" i="1"/>
  <c r="AK17" i="1"/>
  <c r="AJ17" i="1"/>
  <c r="AI17" i="1"/>
  <c r="AH17" i="1"/>
  <c r="AG17" i="1"/>
  <c r="AF17" i="1"/>
  <c r="AE17" i="1"/>
  <c r="AD17" i="1"/>
  <c r="AC17" i="1"/>
  <c r="AB17" i="1"/>
  <c r="N17" i="1"/>
  <c r="AA17" i="1" s="1"/>
  <c r="AN17" i="1" s="1"/>
  <c r="AM16" i="1"/>
  <c r="AL16" i="1"/>
  <c r="AK16" i="1"/>
  <c r="AJ16" i="1"/>
  <c r="AI16" i="1"/>
  <c r="AH16" i="1"/>
  <c r="AG16" i="1"/>
  <c r="AF16" i="1"/>
  <c r="AE16" i="1"/>
  <c r="AD16" i="1"/>
  <c r="AC16" i="1"/>
  <c r="AB16" i="1"/>
  <c r="N16" i="1"/>
  <c r="AA16" i="1" s="1"/>
  <c r="AN16" i="1" s="1"/>
  <c r="AM15" i="1"/>
  <c r="AL15" i="1"/>
  <c r="AK15" i="1"/>
  <c r="AJ15" i="1"/>
  <c r="AI15" i="1"/>
  <c r="AH15" i="1"/>
  <c r="AG15" i="1"/>
  <c r="AF15" i="1"/>
  <c r="AE15" i="1"/>
  <c r="AD15" i="1"/>
  <c r="AC15" i="1"/>
  <c r="AB15" i="1"/>
  <c r="N15" i="1"/>
  <c r="AA15" i="1" s="1"/>
  <c r="AN15" i="1" s="1"/>
  <c r="AM14" i="1"/>
  <c r="AL14" i="1"/>
  <c r="AK14" i="1"/>
  <c r="AJ14" i="1"/>
  <c r="AI14" i="1"/>
  <c r="AH14" i="1"/>
  <c r="AG14" i="1"/>
  <c r="AF14" i="1"/>
  <c r="AE14" i="1"/>
  <c r="AD14" i="1"/>
  <c r="AC14" i="1"/>
  <c r="AB14" i="1"/>
  <c r="N14" i="1"/>
  <c r="AA14" i="1" s="1"/>
  <c r="AN14" i="1" s="1"/>
  <c r="AM13" i="1"/>
  <c r="AL13" i="1"/>
  <c r="AK13" i="1"/>
  <c r="AJ13" i="1"/>
  <c r="AI13" i="1"/>
  <c r="AH13" i="1"/>
  <c r="AG13" i="1"/>
  <c r="AF13" i="1"/>
  <c r="AE13" i="1"/>
  <c r="AD13" i="1"/>
  <c r="AC13" i="1"/>
  <c r="AB13" i="1"/>
  <c r="N13" i="1"/>
  <c r="AA13" i="1" s="1"/>
  <c r="AN13" i="1" s="1"/>
  <c r="AM12" i="1"/>
  <c r="AL12" i="1"/>
  <c r="AK12" i="1"/>
  <c r="AJ12" i="1"/>
  <c r="AI12" i="1"/>
  <c r="AH12" i="1"/>
  <c r="AG12" i="1"/>
  <c r="AF12" i="1"/>
  <c r="AE12" i="1"/>
  <c r="AD12" i="1"/>
  <c r="AC12" i="1"/>
  <c r="AB12" i="1"/>
  <c r="N12" i="1"/>
  <c r="AA12" i="1" s="1"/>
  <c r="AN12" i="1" s="1"/>
  <c r="AQ11" i="1"/>
  <c r="AP11" i="1"/>
  <c r="AO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N11" i="1"/>
  <c r="AA11" i="1" s="1"/>
  <c r="AN11" i="1" s="1"/>
  <c r="AM10" i="1"/>
  <c r="AL10" i="1"/>
  <c r="AK10" i="1"/>
  <c r="AJ10" i="1"/>
  <c r="AI10" i="1"/>
  <c r="AH10" i="1"/>
  <c r="AG10" i="1"/>
  <c r="AF10" i="1"/>
  <c r="AE10" i="1"/>
  <c r="AD10" i="1"/>
  <c r="AC10" i="1"/>
  <c r="AB10" i="1"/>
  <c r="N10" i="1"/>
  <c r="AA10" i="1" s="1"/>
  <c r="AN10" i="1" s="1"/>
  <c r="AZ9" i="1"/>
  <c r="AY9" i="1"/>
  <c r="AX9" i="1"/>
  <c r="AW9" i="1"/>
  <c r="AV9" i="1"/>
  <c r="AU9" i="1"/>
  <c r="AT9" i="1"/>
  <c r="AS9" i="1"/>
  <c r="AR9" i="1"/>
  <c r="AQ9" i="1"/>
  <c r="AP9" i="1"/>
  <c r="AO9" i="1"/>
  <c r="Z9" i="1"/>
  <c r="AM9" i="1" s="1"/>
  <c r="AM8" i="1" s="1"/>
  <c r="Y9" i="1"/>
  <c r="AL9" i="1" s="1"/>
  <c r="AL8" i="1" s="1"/>
  <c r="X9" i="1"/>
  <c r="AK9" i="1" s="1"/>
  <c r="AK8" i="1" s="1"/>
  <c r="W9" i="1"/>
  <c r="AJ9" i="1" s="1"/>
  <c r="AJ8" i="1" s="1"/>
  <c r="V9" i="1"/>
  <c r="AI9" i="1" s="1"/>
  <c r="AI8" i="1" s="1"/>
  <c r="U9" i="1"/>
  <c r="AH9" i="1" s="1"/>
  <c r="AH8" i="1" s="1"/>
  <c r="T9" i="1"/>
  <c r="AG9" i="1" s="1"/>
  <c r="AG8" i="1" s="1"/>
  <c r="S9" i="1"/>
  <c r="AF9" i="1" s="1"/>
  <c r="AF8" i="1" s="1"/>
  <c r="R9" i="1"/>
  <c r="AE9" i="1" s="1"/>
  <c r="AE8" i="1" s="1"/>
  <c r="Q9" i="1"/>
  <c r="AD9" i="1" s="1"/>
  <c r="AD8" i="1" s="1"/>
  <c r="P9" i="1"/>
  <c r="AC9" i="1" s="1"/>
  <c r="AC8" i="1" s="1"/>
  <c r="O9" i="1"/>
  <c r="AB9" i="1" s="1"/>
  <c r="AB8" i="1" s="1"/>
  <c r="N9" i="1"/>
  <c r="AA9" i="1" s="1"/>
  <c r="AN9" i="1" s="1"/>
  <c r="Z8" i="1"/>
  <c r="Y8" i="1"/>
  <c r="X8" i="1"/>
  <c r="W8" i="1"/>
  <c r="V8" i="1"/>
  <c r="U8" i="1"/>
  <c r="T8" i="1"/>
  <c r="S8" i="1"/>
  <c r="R8" i="1"/>
  <c r="Q8" i="1"/>
  <c r="P8" i="1"/>
  <c r="O8" i="1"/>
  <c r="AZ7" i="1"/>
  <c r="AY7" i="1"/>
  <c r="AX7" i="1"/>
  <c r="AW7" i="1"/>
  <c r="AV7" i="1"/>
  <c r="AU7" i="1"/>
  <c r="AT7" i="1"/>
  <c r="AS7" i="1"/>
  <c r="AR7" i="1"/>
  <c r="AQ7" i="1"/>
  <c r="AP7" i="1"/>
  <c r="AO7" i="1"/>
  <c r="M7" i="1"/>
  <c r="L7" i="1"/>
  <c r="K7" i="1"/>
  <c r="J7" i="1"/>
  <c r="I7" i="1"/>
  <c r="H7" i="1"/>
  <c r="G7" i="1"/>
  <c r="F7" i="1"/>
  <c r="E7" i="1"/>
  <c r="D7" i="1"/>
  <c r="C7" i="1"/>
  <c r="B7" i="1"/>
  <c r="AM39" i="1" l="1"/>
  <c r="AJ39" i="1"/>
  <c r="AG39" i="1"/>
  <c r="AL39" i="1"/>
  <c r="AI39" i="1"/>
  <c r="AH39" i="1"/>
  <c r="AF39" i="1"/>
  <c r="AK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 Lima</author>
  </authors>
  <commentList>
    <comment ref="B42" authorId="0" shapeId="0" xr:uid="{94F98DD7-CF03-4419-8BC1-34100F549203}">
      <text>
        <r>
          <rPr>
            <b/>
            <sz val="9"/>
            <color indexed="81"/>
            <rFont val="Segoe UI"/>
            <family val="2"/>
          </rPr>
          <t>Beatriz Lima:</t>
        </r>
        <r>
          <rPr>
            <sz val="9"/>
            <color indexed="81"/>
            <rFont val="Segoe UI"/>
            <family val="2"/>
          </rPr>
          <t xml:space="preserve">
Aumento de 2</t>
        </r>
      </text>
    </comment>
    <comment ref="B44" authorId="0" shapeId="0" xr:uid="{79E5812C-A422-4279-B791-2DB585348D19}">
      <text>
        <r>
          <rPr>
            <b/>
            <sz val="9"/>
            <color indexed="81"/>
            <rFont val="Segoe UI"/>
            <family val="2"/>
          </rPr>
          <t>Beatriz Lima:</t>
        </r>
        <r>
          <rPr>
            <sz val="9"/>
            <color indexed="81"/>
            <rFont val="Segoe UI"/>
            <family val="2"/>
          </rPr>
          <t xml:space="preserve">
Aumento de 1 </t>
        </r>
      </text>
    </comment>
    <comment ref="O45" authorId="0" shapeId="0" xr:uid="{4494F15D-EF1E-4025-BDF3-D4EB2C7A629E}">
      <text>
        <r>
          <rPr>
            <b/>
            <sz val="9"/>
            <color indexed="81"/>
            <rFont val="Segoe UI"/>
            <family val="2"/>
          </rPr>
          <t>Beatriz Lima:</t>
        </r>
        <r>
          <rPr>
            <sz val="9"/>
            <color indexed="81"/>
            <rFont val="Segoe UI"/>
            <family val="2"/>
          </rPr>
          <t xml:space="preserve">
1 ganha 2k e outro 1,5K</t>
        </r>
      </text>
    </comment>
    <comment ref="B59" authorId="0" shapeId="0" xr:uid="{F92B2BAA-FA7F-4B63-B8DF-A67D41E1E534}">
      <text>
        <r>
          <rPr>
            <b/>
            <sz val="9"/>
            <color indexed="81"/>
            <rFont val="Segoe UI"/>
            <family val="2"/>
          </rPr>
          <t>Beatriz Lima:</t>
        </r>
        <r>
          <rPr>
            <sz val="9"/>
            <color indexed="81"/>
            <rFont val="Segoe UI"/>
            <family val="2"/>
          </rPr>
          <t xml:space="preserve">
Aumento de 1</t>
        </r>
      </text>
    </comment>
    <comment ref="B64" authorId="0" shapeId="0" xr:uid="{7735956D-271E-4205-B695-B20F7792EA82}">
      <text>
        <r>
          <rPr>
            <b/>
            <sz val="9"/>
            <color indexed="81"/>
            <rFont val="Segoe UI"/>
            <family val="2"/>
          </rPr>
          <t>Beatriz Lima:</t>
        </r>
        <r>
          <rPr>
            <sz val="9"/>
            <color indexed="81"/>
            <rFont val="Segoe UI"/>
            <family val="2"/>
          </rPr>
          <t xml:space="preserve">
Aumento de 1</t>
        </r>
      </text>
    </comment>
  </commentList>
</comments>
</file>

<file path=xl/sharedStrings.xml><?xml version="1.0" encoding="utf-8"?>
<sst xmlns="http://schemas.openxmlformats.org/spreadsheetml/2006/main" count="212" uniqueCount="125">
  <si>
    <t>PESSOAL</t>
  </si>
  <si>
    <t>Obs: Completar o quadro com a função do Squad, se houver essa função alocada no Squad. Quem possuí essa função alocada na FB, deixar vazio.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</si>
  <si>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</si>
  <si>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</si>
  <si>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</si>
  <si>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</si>
  <si>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</si>
  <si>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</si>
  <si>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</si>
  <si>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</si>
  <si>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</si>
  <si>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</si>
  <si>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</si>
  <si>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</si>
  <si>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Nº COLABORADORES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</si>
  <si>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</si>
  <si>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</si>
  <si>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</si>
  <si>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</si>
  <si>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</si>
  <si>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</si>
  <si>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</si>
  <si>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</si>
  <si>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</si>
  <si>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</si>
  <si>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</si>
  <si>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</si>
  <si>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REMUNERAÇÃO</t>
  </si>
  <si>
    <t xml:space="preserve">CUSTO TOTAL </t>
  </si>
  <si>
    <t>ALIMENTAÇÃO</t>
  </si>
  <si>
    <t>PJ</t>
  </si>
  <si>
    <t xml:space="preserve">  - Squad</t>
  </si>
  <si>
    <t>Líder de Squad</t>
  </si>
  <si>
    <t>Cartão Black</t>
  </si>
  <si>
    <t>Gerente Financeiro</t>
  </si>
  <si>
    <t>Analista Financeiro - Squad</t>
  </si>
  <si>
    <t>Assistente Financeiro</t>
  </si>
  <si>
    <t>Gerente de Eventos</t>
  </si>
  <si>
    <t>Coordenador de Eventos</t>
  </si>
  <si>
    <t>Analista de Eventos</t>
  </si>
  <si>
    <t>Assistente de Eventos</t>
  </si>
  <si>
    <t>Produtor de Eventos</t>
  </si>
  <si>
    <t>Gerente de Marketing</t>
  </si>
  <si>
    <t>Coordenador de Marketing</t>
  </si>
  <si>
    <t>Analista de Marketing</t>
  </si>
  <si>
    <t>Assistente de Marketing</t>
  </si>
  <si>
    <t>Curador Artístico</t>
  </si>
  <si>
    <t>Produtor Artístico</t>
  </si>
  <si>
    <t>Chefe de Manutenção</t>
  </si>
  <si>
    <t>Operação</t>
  </si>
  <si>
    <t xml:space="preserve">  - Gerente</t>
  </si>
  <si>
    <t>Alimentação Cardapio + Cartão Black</t>
  </si>
  <si>
    <t xml:space="preserve">  - Subgerente</t>
  </si>
  <si>
    <t xml:space="preserve">  - Coordenador</t>
  </si>
  <si>
    <t xml:space="preserve">  - Administrativa</t>
  </si>
  <si>
    <t xml:space="preserve">  - Chefe de Cozinha</t>
  </si>
  <si>
    <t xml:space="preserve">  - Chefe de Bar</t>
  </si>
  <si>
    <t xml:space="preserve">  - Sub Chefe de Cozinha</t>
  </si>
  <si>
    <t xml:space="preserve">  - Sub Chefe De Bar</t>
  </si>
  <si>
    <t xml:space="preserve">  - Maitre</t>
  </si>
  <si>
    <t xml:space="preserve">  - Chefe de Fila</t>
  </si>
  <si>
    <t xml:space="preserve">  - Hostess</t>
  </si>
  <si>
    <t>Quadro/Função</t>
  </si>
  <si>
    <t xml:space="preserve">Cenário Atual </t>
  </si>
  <si>
    <t>Tabela CLT FB</t>
  </si>
  <si>
    <t xml:space="preserve">  -  Maitre</t>
  </si>
  <si>
    <t xml:space="preserve">  -  Garçon III</t>
  </si>
  <si>
    <t xml:space="preserve">  -  Garçon II</t>
  </si>
  <si>
    <t xml:space="preserve">  -  Garçon I</t>
  </si>
  <si>
    <t xml:space="preserve">  -  Passador de Chopp</t>
  </si>
  <si>
    <t xml:space="preserve">  -  Cumin</t>
  </si>
  <si>
    <t xml:space="preserve">  -  Sub Chefe de Bar</t>
  </si>
  <si>
    <t xml:space="preserve">  -  Bartender III</t>
  </si>
  <si>
    <t xml:space="preserve">  -  Bartender II</t>
  </si>
  <si>
    <t xml:space="preserve">  -  Bartender I</t>
  </si>
  <si>
    <t xml:space="preserve">  -  Bar Back</t>
  </si>
  <si>
    <t xml:space="preserve">  -  Barista III</t>
  </si>
  <si>
    <t xml:space="preserve">  -  Barista II</t>
  </si>
  <si>
    <t xml:space="preserve">  -  Barista I</t>
  </si>
  <si>
    <t xml:space="preserve">  -  Chopeiro III</t>
  </si>
  <si>
    <t xml:space="preserve">  -  Chopeiro II</t>
  </si>
  <si>
    <t xml:space="preserve">  -  Chopeiro I</t>
  </si>
  <si>
    <t xml:space="preserve">  -  Sub Chefe de Cozinha</t>
  </si>
  <si>
    <t xml:space="preserve">  -  Cozinheiro Líder</t>
  </si>
  <si>
    <t xml:space="preserve">  -  Cozinheiro III</t>
  </si>
  <si>
    <t xml:space="preserve">  -  Cozinheiro II</t>
  </si>
  <si>
    <t xml:space="preserve">  -  Cozinheiro I</t>
  </si>
  <si>
    <t xml:space="preserve">  -  Ajud cozinha</t>
  </si>
  <si>
    <t xml:space="preserve">  -  Saladeiro</t>
  </si>
  <si>
    <t xml:space="preserve">  -  Pia</t>
  </si>
  <si>
    <t xml:space="preserve">  -  Sub Chefe de Confeitaria</t>
  </si>
  <si>
    <t xml:space="preserve">  -  Confeiteiro III</t>
  </si>
  <si>
    <t xml:space="preserve">  -  Confeiteiro II</t>
  </si>
  <si>
    <t xml:space="preserve">  -  Confeiteiro I</t>
  </si>
  <si>
    <t xml:space="preserve">  -  Copeiro</t>
  </si>
  <si>
    <t xml:space="preserve">  -  Pizzaiolo</t>
  </si>
  <si>
    <t xml:space="preserve">  -  Ajudante de Pizzaiolo</t>
  </si>
  <si>
    <t xml:space="preserve">  -  Boqueta</t>
  </si>
  <si>
    <t xml:space="preserve">  -  Churrasqueiro III</t>
  </si>
  <si>
    <t xml:space="preserve">  -  Churrasqueiro II</t>
  </si>
  <si>
    <t xml:space="preserve">  -  Churrasqueiro I</t>
  </si>
  <si>
    <t xml:space="preserve">  -  Ajud Limpeza</t>
  </si>
  <si>
    <t xml:space="preserve">  -  Estoquista III</t>
  </si>
  <si>
    <t xml:space="preserve">  -  Estoquista II</t>
  </si>
  <si>
    <t xml:space="preserve">  -  Estoquista I</t>
  </si>
  <si>
    <t xml:space="preserve">  -  Chefe de Manutenção</t>
  </si>
  <si>
    <t xml:space="preserve">  -  Aux. Manutenção III</t>
  </si>
  <si>
    <t xml:space="preserve">  -  Aux. Manutenção II</t>
  </si>
  <si>
    <t xml:space="preserve">  -  Aux. Manutenção I</t>
  </si>
  <si>
    <t xml:space="preserve">  -  Chefe da Portaria</t>
  </si>
  <si>
    <t xml:space="preserve">  -  Porteiro III</t>
  </si>
  <si>
    <t xml:space="preserve">  -  Porteiro II</t>
  </si>
  <si>
    <t xml:space="preserve">  -  Porteiro I</t>
  </si>
  <si>
    <t xml:space="preserve">  -  Hostess III</t>
  </si>
  <si>
    <t xml:space="preserve">  -  Hostess II</t>
  </si>
  <si>
    <t xml:space="preserve">  -  Hostess I</t>
  </si>
  <si>
    <t xml:space="preserve">  -  Chefe de Bilheteria</t>
  </si>
  <si>
    <t xml:space="preserve">  -  Bilheteiro III</t>
  </si>
  <si>
    <t xml:space="preserve">  -  Bilheteiro II</t>
  </si>
  <si>
    <t xml:space="preserve">  -  Bilheteiro I</t>
  </si>
  <si>
    <t xml:space="preserve">  -  Caixa</t>
  </si>
  <si>
    <t xml:space="preserve">  -  Operador de Delivery</t>
  </si>
  <si>
    <t>ESTAFF</t>
  </si>
  <si>
    <t xml:space="preserve">Alimentação Estaff </t>
  </si>
  <si>
    <t>TOTAL ALIMENTAÇÃO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</si>
</sst>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Verdana"/>
      <family val="2"/>
    </font>
    <font>
      <b/>
      <sz val="26"/>
      <color theme="0"/>
      <name val="Verdana"/>
      <family val="2"/>
    </font>
    <font>
      <b/>
      <sz val="10"/>
      <color rgb="FFFFC000"/>
      <name val="Verdana"/>
      <family val="2"/>
    </font>
    <font>
      <b/>
      <sz val="14"/>
      <color theme="0"/>
      <name val="Verdana"/>
      <family val="2"/>
    </font>
    <font>
      <b/>
      <sz val="10"/>
      <color theme="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4"/>
      <color indexed="9"/>
      <name val="Verdana"/>
      <family val="2"/>
    </font>
    <font>
      <sz val="10.5"/>
      <name val="Verdana"/>
      <family val="2"/>
    </font>
    <font>
      <sz val="10.5"/>
      <color theme="0"/>
      <name val="Verdan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4" fillId="2" borderId="0" xfId="0" applyFont="1" applyFill="1" applyAlignment="1">
      <alignment vertical="center" wrapText="1"/>
    </xf>
    <xf numFmtId="164" fontId="4" fillId="2" borderId="0" xfId="1" applyNumberFormat="1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3" borderId="0" xfId="0" applyFont="1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4" fontId="4" fillId="2" borderId="0" xfId="1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8" fillId="2" borderId="0" xfId="1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 wrapText="1"/>
    </xf>
    <xf numFmtId="164" fontId="9" fillId="4" borderId="2" xfId="1" applyNumberFormat="1" applyFont="1" applyFill="1" applyBorder="1" applyAlignment="1">
      <alignment vertical="center" wrapText="1"/>
    </xf>
    <xf numFmtId="164" fontId="9" fillId="4" borderId="3" xfId="1" applyNumberFormat="1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164" fontId="9" fillId="4" borderId="4" xfId="1" applyNumberFormat="1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164" fontId="9" fillId="5" borderId="2" xfId="1" applyNumberFormat="1" applyFont="1" applyFill="1" applyBorder="1" applyAlignment="1">
      <alignment vertical="center" wrapText="1"/>
    </xf>
    <xf numFmtId="164" fontId="9" fillId="5" borderId="4" xfId="1" applyNumberFormat="1" applyFont="1" applyFill="1" applyBorder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0" fillId="3" borderId="0" xfId="0" applyFill="1"/>
    <xf numFmtId="0" fontId="9" fillId="6" borderId="5" xfId="0" quotePrefix="1" applyFont="1" applyFill="1" applyBorder="1" applyAlignment="1">
      <alignment vertical="center" wrapText="1"/>
    </xf>
    <xf numFmtId="0" fontId="9" fillId="6" borderId="6" xfId="0" quotePrefix="1" applyFont="1" applyFill="1" applyBorder="1" applyAlignment="1">
      <alignment vertical="center" wrapText="1"/>
    </xf>
    <xf numFmtId="164" fontId="9" fillId="6" borderId="6" xfId="0" quotePrefix="1" applyNumberFormat="1" applyFont="1" applyFill="1" applyBorder="1" applyAlignment="1">
      <alignment vertical="center" wrapText="1"/>
    </xf>
    <xf numFmtId="164" fontId="9" fillId="6" borderId="6" xfId="1" quotePrefix="1" applyNumberFormat="1" applyFont="1" applyFill="1" applyBorder="1" applyAlignment="1">
      <alignment vertical="center" wrapText="1"/>
    </xf>
    <xf numFmtId="0" fontId="9" fillId="6" borderId="7" xfId="0" quotePrefix="1" applyFont="1" applyFill="1" applyBorder="1" applyAlignment="1">
      <alignment vertical="center" wrapText="1"/>
    </xf>
    <xf numFmtId="164" fontId="9" fillId="6" borderId="8" xfId="1" quotePrefix="1" applyNumberFormat="1" applyFont="1" applyFill="1" applyBorder="1" applyAlignment="1">
      <alignment vertical="center" wrapText="1"/>
    </xf>
    <xf numFmtId="164" fontId="9" fillId="6" borderId="9" xfId="1" quotePrefix="1" applyNumberFormat="1" applyFont="1" applyFill="1" applyBorder="1" applyAlignment="1">
      <alignment vertical="center" wrapText="1"/>
    </xf>
    <xf numFmtId="164" fontId="9" fillId="6" borderId="10" xfId="1" quotePrefix="1" applyNumberFormat="1" applyFont="1" applyFill="1" applyBorder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2" fillId="3" borderId="0" xfId="0" applyFont="1" applyFill="1"/>
    <xf numFmtId="0" fontId="10" fillId="6" borderId="7" xfId="0" quotePrefix="1" applyFont="1" applyFill="1" applyBorder="1" applyAlignment="1">
      <alignment vertical="center" wrapText="1"/>
    </xf>
    <xf numFmtId="0" fontId="10" fillId="6" borderId="9" xfId="0" quotePrefix="1" applyFont="1" applyFill="1" applyBorder="1" applyAlignment="1">
      <alignment vertical="center" wrapText="1"/>
    </xf>
    <xf numFmtId="164" fontId="10" fillId="6" borderId="9" xfId="1" quotePrefix="1" applyNumberFormat="1" applyFont="1" applyFill="1" applyBorder="1" applyAlignment="1">
      <alignment vertical="center" wrapText="1"/>
    </xf>
    <xf numFmtId="164" fontId="10" fillId="6" borderId="10" xfId="1" quotePrefix="1" applyNumberFormat="1" applyFont="1" applyFill="1" applyBorder="1" applyAlignment="1">
      <alignment vertical="center" wrapText="1"/>
    </xf>
    <xf numFmtId="164" fontId="10" fillId="6" borderId="8" xfId="1" quotePrefix="1" applyNumberFormat="1" applyFont="1" applyFill="1" applyBorder="1" applyAlignment="1">
      <alignment vertical="center" wrapText="1"/>
    </xf>
    <xf numFmtId="0" fontId="10" fillId="6" borderId="11" xfId="0" quotePrefix="1" applyFont="1" applyFill="1" applyBorder="1" applyAlignment="1">
      <alignment vertical="center" wrapText="1"/>
    </xf>
    <xf numFmtId="164" fontId="10" fillId="6" borderId="11" xfId="1" quotePrefix="1" applyNumberFormat="1" applyFont="1" applyFill="1" applyBorder="1" applyAlignment="1">
      <alignment vertical="center" wrapText="1"/>
    </xf>
    <xf numFmtId="164" fontId="9" fillId="6" borderId="11" xfId="1" quotePrefix="1" applyNumberFormat="1" applyFont="1" applyFill="1" applyBorder="1" applyAlignment="1">
      <alignment vertical="center" wrapText="1"/>
    </xf>
    <xf numFmtId="164" fontId="9" fillId="6" borderId="9" xfId="0" quotePrefix="1" applyNumberFormat="1" applyFont="1" applyFill="1" applyBorder="1" applyAlignment="1">
      <alignment vertical="center" wrapText="1"/>
    </xf>
    <xf numFmtId="0" fontId="10" fillId="2" borderId="12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164" fontId="10" fillId="2" borderId="0" xfId="1" applyNumberFormat="1" applyFont="1" applyFill="1" applyBorder="1" applyAlignment="1">
      <alignment vertical="center" wrapText="1"/>
    </xf>
    <xf numFmtId="164" fontId="10" fillId="2" borderId="13" xfId="1" applyNumberFormat="1" applyFont="1" applyFill="1" applyBorder="1" applyAlignment="1">
      <alignment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165" fontId="8" fillId="7" borderId="2" xfId="2" applyNumberFormat="1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9" fillId="4" borderId="14" xfId="1" applyNumberFormat="1" applyFont="1" applyFill="1" applyBorder="1" applyAlignment="1">
      <alignment vertical="center" wrapText="1"/>
    </xf>
    <xf numFmtId="0" fontId="10" fillId="6" borderId="5" xfId="0" quotePrefix="1" applyFont="1" applyFill="1" applyBorder="1" applyAlignment="1">
      <alignment vertical="center" wrapText="1"/>
    </xf>
    <xf numFmtId="0" fontId="10" fillId="6" borderId="6" xfId="0" quotePrefix="1" applyFont="1" applyFill="1" applyBorder="1" applyAlignment="1">
      <alignment vertical="center" wrapText="1"/>
    </xf>
    <xf numFmtId="164" fontId="10" fillId="6" borderId="15" xfId="1" quotePrefix="1" applyNumberFormat="1" applyFont="1" applyFill="1" applyBorder="1" applyAlignment="1">
      <alignment vertical="center" wrapText="1"/>
    </xf>
    <xf numFmtId="164" fontId="10" fillId="6" borderId="6" xfId="1" quotePrefix="1" applyNumberFormat="1" applyFont="1" applyFill="1" applyBorder="1" applyAlignment="1">
      <alignment vertical="center" wrapText="1"/>
    </xf>
    <xf numFmtId="164" fontId="10" fillId="6" borderId="16" xfId="1" quotePrefix="1" applyNumberFormat="1" applyFont="1" applyFill="1" applyBorder="1" applyAlignment="1">
      <alignment vertical="center" wrapText="1"/>
    </xf>
    <xf numFmtId="0" fontId="10" fillId="6" borderId="17" xfId="0" quotePrefix="1" applyFont="1" applyFill="1" applyBorder="1" applyAlignment="1">
      <alignment vertical="center" wrapText="1"/>
    </xf>
    <xf numFmtId="0" fontId="10" fillId="6" borderId="18" xfId="0" quotePrefix="1" applyFont="1" applyFill="1" applyBorder="1" applyAlignment="1">
      <alignment vertical="center" wrapText="1"/>
    </xf>
    <xf numFmtId="0" fontId="10" fillId="6" borderId="19" xfId="0" quotePrefix="1" applyFont="1" applyFill="1" applyBorder="1" applyAlignment="1">
      <alignment vertical="center" wrapText="1"/>
    </xf>
    <xf numFmtId="164" fontId="10" fillId="6" borderId="20" xfId="1" quotePrefix="1" applyNumberFormat="1" applyFont="1" applyFill="1" applyBorder="1" applyAlignment="1">
      <alignment vertical="center" wrapText="1"/>
    </xf>
    <xf numFmtId="164" fontId="10" fillId="6" borderId="18" xfId="1" quotePrefix="1" applyNumberFormat="1" applyFont="1" applyFill="1" applyBorder="1" applyAlignment="1">
      <alignment vertical="center" wrapText="1"/>
    </xf>
    <xf numFmtId="164" fontId="10" fillId="6" borderId="21" xfId="1" quotePrefix="1" applyNumberFormat="1" applyFont="1" applyFill="1" applyBorder="1" applyAlignment="1">
      <alignment vertical="center" wrapText="1"/>
    </xf>
    <xf numFmtId="164" fontId="10" fillId="2" borderId="0" xfId="1" applyNumberFormat="1" applyFont="1" applyFill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9" fillId="2" borderId="1" xfId="0" quotePrefix="1" applyFont="1" applyFill="1" applyBorder="1" applyAlignment="1">
      <alignment horizontal="center" vertical="center" wrapText="1"/>
    </xf>
    <xf numFmtId="164" fontId="12" fillId="2" borderId="0" xfId="1" applyNumberFormat="1" applyFont="1" applyFill="1" applyAlignment="1">
      <alignment vertical="center" wrapText="1"/>
    </xf>
    <xf numFmtId="164" fontId="13" fillId="2" borderId="0" xfId="1" applyNumberFormat="1" applyFont="1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164" fontId="0" fillId="2" borderId="0" xfId="1" applyNumberFormat="1" applyFont="1" applyFill="1" applyAlignment="1">
      <alignment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fabricadebarescombr.sharepoint.com/sites/Controladoria/Documentos%20Compartilhados/Controladoria%20-%20Controladoria%20Comum%20-%20novo/Or&#231;amento/V6%20-%20Final%20-%20Ajustes%20Janeiro%202026/Bar%20Brahma%20Centro%20-%20Analise%20Opera&#231;&#227;o%20-%20Constru&#231;&#227;o%20do%20Or&#231;amento%202026%20-%20V5%20-%20Final%20.xlsx" TargetMode="External"/><Relationship Id="rId2" Type="http://schemas.microsoft.com/office/2019/04/relationships/externalLinkLongPath" Target="https://fabricadebarescombr.sharepoint.com/sites/Controladoria/Documentos%20Compartilhados/Controladoria%20-%20Controladoria%20Comum%20-%20novo/Or&#231;amento/V6%20-%20Final%20-%20Ajustes%20Janeiro%202026/Bar%20Brahma%20Centro%20-%20Analise%20Opera&#231;&#227;o%20-%20Constru&#231;&#227;o%20do%20Or&#231;amento%202026%20-%20V5%20-%20Final%20.xlsx?432836CF" TargetMode="External"/><Relationship Id="rId1" Type="http://schemas.openxmlformats.org/officeDocument/2006/relationships/externalLinkPath" Target="file:///\\432836CF\Bar%20Brahma%20Centro%20-%20Analise%20Opera&#231;&#227;o%20-%20Constru&#231;&#227;o%20do%20Or&#231;amento%202026%20-%20V5%20-%20Final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rçamento  Operacional"/>
      <sheetName val="Orçamento 2026"/>
      <sheetName val="Análise SWOT"/>
      <sheetName val="Pesquisa de Mercado"/>
      <sheetName val="Análise Interna"/>
      <sheetName val="Exemplo de Rotinas Gerais "/>
      <sheetName val="Proposta de Objetivos 2026 "/>
      <sheetName val="Planejamento de Marketing"/>
      <sheetName val="Faturamento Bruto"/>
      <sheetName val="Faturamento Delivery"/>
      <sheetName val="Patrocínio"/>
      <sheetName val="Base Procv "/>
      <sheetName val="Fat. Eventos"/>
      <sheetName val="Fiscal"/>
      <sheetName val="Despesas Fixas e Contratos"/>
      <sheetName val="Headcount de Pessoas 2026"/>
      <sheetName val="Base Gorjeta "/>
      <sheetName val="Mapeamento - Cálculo Folha"/>
      <sheetName val="MDO - Cenários"/>
      <sheetName val="Escala Padrão"/>
      <sheetName val="Consulta KPIs Gerais"/>
      <sheetName val="Consulta Estaff 2025"/>
      <sheetName val="Consulta_BlueMe_Sem_Pedido"/>
      <sheetName val="Consulta_BlueMe_Com_Pedido"/>
      <sheetName val="Consulta_Endividamentos"/>
      <sheetName val="Calendário 2026"/>
      <sheetName val="Plano de Contas 2026"/>
    </sheetNames>
    <sheetDataSet>
      <sheetData sheetId="0">
        <row r="178">
          <cell r="H178">
            <v>-53387.141119814383</v>
          </cell>
          <cell r="I178">
            <v>-46677.121125623577</v>
          </cell>
          <cell r="J178">
            <v>-55703.337822951216</v>
          </cell>
          <cell r="K178">
            <v>-61003.887424077489</v>
          </cell>
          <cell r="L178">
            <v>-64161.222378522849</v>
          </cell>
          <cell r="M178">
            <v>-57739.300034537147</v>
          </cell>
          <cell r="N178">
            <v>-57367.891869241823</v>
          </cell>
          <cell r="O178">
            <v>-64072.900216705879</v>
          </cell>
          <cell r="P178">
            <v>-60680.290641464897</v>
          </cell>
          <cell r="Q178">
            <v>-57137.238663517797</v>
          </cell>
          <cell r="R178">
            <v>-72553.492872011848</v>
          </cell>
          <cell r="S178">
            <v>-74652.675168070797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7D06-583B-4B21-A9DE-AFD4514EFCB3}">
  <sheetPr>
    <tabColor theme="5" tint="0.79998168889431442"/>
  </sheetPr>
  <dimension ref="A1:BQ204"/>
  <sheetViews>
    <sheetView showGridLines="0" tabSelected="1" zoomScale="77" zoomScaleNormal="81" workbookViewId="0">
      <selection activeCell="J15" sqref="J15"/>
    </sheetView>
  </sheetViews>
  <sheetFormatPr defaultRowHeight="14.4" x14ac:dyDescent="0.3"/>
  <cols>
    <col min="1" max="1" width="32.21875" style="69" bestFit="1" customWidth="1"/>
    <col min="2" max="13" width="13.21875" style="69" customWidth="1"/>
    <col min="14" max="14" width="30.109375" style="69" bestFit="1" customWidth="1"/>
    <col min="15" max="25" width="11" style="69" bestFit="1" customWidth="1"/>
    <col min="26" max="26" width="10.6640625" style="69" customWidth="1"/>
    <col min="27" max="27" width="33.21875" style="69" customWidth="1"/>
    <col min="28" max="28" width="11.6640625" style="70" bestFit="1" customWidth="1"/>
    <col min="29" max="29" width="12.33203125" style="70" bestFit="1" customWidth="1"/>
    <col min="30" max="35" width="11.6640625" style="70" bestFit="1" customWidth="1"/>
    <col min="36" max="36" width="12.6640625" style="70" bestFit="1" customWidth="1"/>
    <col min="37" max="37" width="11.6640625" style="70" bestFit="1" customWidth="1"/>
    <col min="38" max="39" width="13.21875" style="70" bestFit="1" customWidth="1"/>
    <col min="40" max="40" width="34.6640625" style="69" bestFit="1" customWidth="1"/>
    <col min="41" max="41" width="11" style="70" bestFit="1" customWidth="1"/>
    <col min="42" max="42" width="11.5546875" style="70" bestFit="1" customWidth="1"/>
    <col min="43" max="48" width="11" style="70" bestFit="1" customWidth="1"/>
    <col min="49" max="49" width="12.109375" style="70" bestFit="1" customWidth="1"/>
    <col min="50" max="50" width="11" style="70" bestFit="1" customWidth="1"/>
    <col min="51" max="51" width="12.5546875" style="70" bestFit="1" customWidth="1"/>
    <col min="52" max="52" width="12.44140625" style="70" customWidth="1"/>
    <col min="53" max="53" width="39.6640625" style="68" customWidth="1"/>
    <col min="54" max="69" width="8.88671875" style="68"/>
    <col min="70" max="16384" width="8.88671875" style="22"/>
  </cols>
  <sheetData>
    <row r="1" spans="1:69" s="4" customForma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1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s="4" customForma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1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spans="1:69" s="4" customFormat="1" ht="31.8" x14ac:dyDescent="0.3">
      <c r="A3" s="5" t="s">
        <v>0</v>
      </c>
      <c r="B3" s="6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1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s="4" customForma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1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s="4" customFormat="1" x14ac:dyDescent="0.3">
      <c r="A5" s="7"/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/>
      <c r="O5" s="7" t="s">
        <v>2</v>
      </c>
      <c r="P5" s="7" t="s">
        <v>3</v>
      </c>
      <c r="Q5" s="7" t="s">
        <v>4</v>
      </c>
      <c r="R5" s="7" t="s">
        <v>5</v>
      </c>
      <c r="S5" s="7" t="s">
        <v>6</v>
      </c>
      <c r="T5" s="7" t="s">
        <v>7</v>
      </c>
      <c r="U5" s="7" t="s">
        <v>8</v>
      </c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/>
      <c r="AB5" s="8" t="s">
        <v>2</v>
      </c>
      <c r="AC5" s="8" t="s">
        <v>3</v>
      </c>
      <c r="AD5" s="8" t="s">
        <v>4</v>
      </c>
      <c r="AE5" s="8" t="s">
        <v>5</v>
      </c>
      <c r="AF5" s="8" t="s">
        <v>6</v>
      </c>
      <c r="AG5" s="8" t="s">
        <v>7</v>
      </c>
      <c r="AH5" s="8" t="s">
        <v>8</v>
      </c>
      <c r="AI5" s="8" t="s">
        <v>9</v>
      </c>
      <c r="AJ5" s="8" t="s">
        <v>10</v>
      </c>
      <c r="AK5" s="8" t="s">
        <v>11</v>
      </c>
      <c r="AL5" s="8" t="s">
        <v>12</v>
      </c>
      <c r="AM5" s="8" t="s">
        <v>13</v>
      </c>
      <c r="AN5" s="7"/>
      <c r="AO5" s="8" t="s">
        <v>2</v>
      </c>
      <c r="AP5" s="8" t="s">
        <v>3</v>
      </c>
      <c r="AQ5" s="8" t="s">
        <v>4</v>
      </c>
      <c r="AR5" s="8" t="s">
        <v>5</v>
      </c>
      <c r="AS5" s="8" t="s">
        <v>6</v>
      </c>
      <c r="AT5" s="8" t="s">
        <v>7</v>
      </c>
      <c r="AU5" s="8" t="s">
        <v>8</v>
      </c>
      <c r="AV5" s="8" t="s">
        <v>9</v>
      </c>
      <c r="AW5" s="8" t="s">
        <v>10</v>
      </c>
      <c r="AX5" s="8" t="s">
        <v>11</v>
      </c>
      <c r="AY5" s="8" t="s">
        <v>12</v>
      </c>
      <c r="AZ5" s="8" t="s">
        <v>13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 spans="1:69" s="4" customFormat="1" ht="26.4" customHeight="1" thickBot="1" x14ac:dyDescent="0.35">
      <c r="A6" s="9" t="s">
        <v>14</v>
      </c>
      <c r="B6" s="10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 t="s">
        <v>22</v>
      </c>
      <c r="J6" s="10" t="s">
        <v>23</v>
      </c>
      <c r="K6" s="10" t="s">
        <v>24</v>
      </c>
      <c r="L6" s="10" t="s">
        <v>25</v>
      </c>
      <c r="M6" s="10" t="s">
        <v>26</v>
      </c>
      <c r="N6" s="9" t="s">
        <v>27</v>
      </c>
      <c r="O6" s="10" t="s">
        <v>15</v>
      </c>
      <c r="P6" s="10" t="s">
        <v>16</v>
      </c>
      <c r="Q6" s="10" t="s">
        <v>17</v>
      </c>
      <c r="R6" s="10" t="s">
        <v>18</v>
      </c>
      <c r="S6" s="10" t="s">
        <v>19</v>
      </c>
      <c r="T6" s="10" t="s">
        <v>20</v>
      </c>
      <c r="U6" s="10" t="s">
        <v>21</v>
      </c>
      <c r="V6" s="10" t="s">
        <v>22</v>
      </c>
      <c r="W6" s="10" t="s">
        <v>23</v>
      </c>
      <c r="X6" s="10" t="s">
        <v>24</v>
      </c>
      <c r="Y6" s="10" t="s">
        <v>25</v>
      </c>
      <c r="Z6" s="10" t="s">
        <v>26</v>
      </c>
      <c r="AA6" s="9" t="s">
        <v>28</v>
      </c>
      <c r="AB6" s="11" t="s">
        <v>15</v>
      </c>
      <c r="AC6" s="11" t="s">
        <v>16</v>
      </c>
      <c r="AD6" s="11" t="s">
        <v>17</v>
      </c>
      <c r="AE6" s="11" t="s">
        <v>18</v>
      </c>
      <c r="AF6" s="11" t="s">
        <v>19</v>
      </c>
      <c r="AG6" s="11" t="s">
        <v>20</v>
      </c>
      <c r="AH6" s="11" t="s">
        <v>21</v>
      </c>
      <c r="AI6" s="11" t="s">
        <v>22</v>
      </c>
      <c r="AJ6" s="11" t="s">
        <v>23</v>
      </c>
      <c r="AK6" s="11" t="s">
        <v>24</v>
      </c>
      <c r="AL6" s="11" t="s">
        <v>25</v>
      </c>
      <c r="AM6" s="11" t="s">
        <v>26</v>
      </c>
      <c r="AN6" s="9" t="s">
        <v>29</v>
      </c>
      <c r="AO6" s="11" t="s">
        <v>15</v>
      </c>
      <c r="AP6" s="11" t="s">
        <v>16</v>
      </c>
      <c r="AQ6" s="11" t="s">
        <v>17</v>
      </c>
      <c r="AR6" s="11" t="s">
        <v>18</v>
      </c>
      <c r="AS6" s="11" t="s">
        <v>19</v>
      </c>
      <c r="AT6" s="11" t="s">
        <v>20</v>
      </c>
      <c r="AU6" s="11" t="s">
        <v>21</v>
      </c>
      <c r="AV6" s="11" t="s">
        <v>22</v>
      </c>
      <c r="AW6" s="11" t="s">
        <v>23</v>
      </c>
      <c r="AX6" s="11" t="s">
        <v>24</v>
      </c>
      <c r="AY6" s="11" t="s">
        <v>25</v>
      </c>
      <c r="AZ6" s="11" t="s">
        <v>26</v>
      </c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 spans="1:69" ht="15" thickBot="1" x14ac:dyDescent="0.35">
      <c r="A7" s="12" t="s">
        <v>30</v>
      </c>
      <c r="B7" s="13">
        <f>SUM(B9:B25)+SUM(B26)</f>
        <v>15</v>
      </c>
      <c r="C7" s="13">
        <f t="shared" ref="C7:M7" si="0">SUM(C9:C25)+SUM(C26)</f>
        <v>15</v>
      </c>
      <c r="D7" s="13">
        <f t="shared" si="0"/>
        <v>15</v>
      </c>
      <c r="E7" s="13">
        <f t="shared" si="0"/>
        <v>15</v>
      </c>
      <c r="F7" s="13">
        <f t="shared" si="0"/>
        <v>14</v>
      </c>
      <c r="G7" s="13">
        <f t="shared" si="0"/>
        <v>14</v>
      </c>
      <c r="H7" s="13">
        <f t="shared" si="0"/>
        <v>14</v>
      </c>
      <c r="I7" s="13">
        <f t="shared" si="0"/>
        <v>14</v>
      </c>
      <c r="J7" s="13">
        <f t="shared" si="0"/>
        <v>14</v>
      </c>
      <c r="K7" s="13">
        <f t="shared" si="0"/>
        <v>14</v>
      </c>
      <c r="L7" s="13">
        <f t="shared" si="0"/>
        <v>14</v>
      </c>
      <c r="M7" s="14">
        <f t="shared" si="0"/>
        <v>14</v>
      </c>
      <c r="N7" s="12" t="s">
        <v>30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6"/>
      <c r="AA7" s="12" t="s">
        <v>30</v>
      </c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7"/>
      <c r="AN7" s="18" t="s">
        <v>30</v>
      </c>
      <c r="AO7" s="19">
        <f t="shared" ref="AO7:AZ7" si="1">SUM(AO8:AO37)</f>
        <v>-15113.333333333332</v>
      </c>
      <c r="AP7" s="19">
        <f t="shared" si="1"/>
        <v>-15113.333333333332</v>
      </c>
      <c r="AQ7" s="19">
        <f t="shared" si="1"/>
        <v>-15113.333333333332</v>
      </c>
      <c r="AR7" s="19">
        <f t="shared" si="1"/>
        <v>-15113.333333333332</v>
      </c>
      <c r="AS7" s="19">
        <f t="shared" si="1"/>
        <v>-13833.333333333334</v>
      </c>
      <c r="AT7" s="19">
        <f t="shared" si="1"/>
        <v>-13833.333333333334</v>
      </c>
      <c r="AU7" s="19">
        <f t="shared" si="1"/>
        <v>-13833.333333333334</v>
      </c>
      <c r="AV7" s="19">
        <f t="shared" si="1"/>
        <v>-13833.333333333334</v>
      </c>
      <c r="AW7" s="19">
        <f t="shared" si="1"/>
        <v>-13833.333333333334</v>
      </c>
      <c r="AX7" s="19">
        <f t="shared" si="1"/>
        <v>-13833.333333333334</v>
      </c>
      <c r="AY7" s="19">
        <f t="shared" si="1"/>
        <v>-13833.333333333334</v>
      </c>
      <c r="AZ7" s="20">
        <f t="shared" si="1"/>
        <v>-13833.333333333334</v>
      </c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</row>
    <row r="8" spans="1:69" s="32" customFormat="1" x14ac:dyDescent="0.3">
      <c r="A8" s="23" t="s">
        <v>31</v>
      </c>
      <c r="B8" s="24">
        <v>1</v>
      </c>
      <c r="C8" s="24">
        <v>1</v>
      </c>
      <c r="D8" s="24">
        <v>1</v>
      </c>
      <c r="E8" s="24">
        <v>1</v>
      </c>
      <c r="F8" s="24">
        <v>1</v>
      </c>
      <c r="G8" s="24">
        <v>1</v>
      </c>
      <c r="H8" s="24">
        <v>1</v>
      </c>
      <c r="I8" s="24">
        <v>1</v>
      </c>
      <c r="J8" s="24">
        <v>1</v>
      </c>
      <c r="K8" s="24">
        <v>1</v>
      </c>
      <c r="L8" s="24">
        <v>1</v>
      </c>
      <c r="M8" s="24">
        <v>1</v>
      </c>
      <c r="N8" s="23" t="s">
        <v>31</v>
      </c>
      <c r="O8" s="25">
        <f>SUM(O9:O25)</f>
        <v>9500</v>
      </c>
      <c r="P8" s="25">
        <f t="shared" ref="P8:Z8" si="2">SUM(P9:P25)</f>
        <v>9500</v>
      </c>
      <c r="Q8" s="25">
        <f t="shared" si="2"/>
        <v>9500</v>
      </c>
      <c r="R8" s="25">
        <f t="shared" si="2"/>
        <v>9500</v>
      </c>
      <c r="S8" s="25">
        <f t="shared" si="2"/>
        <v>9500</v>
      </c>
      <c r="T8" s="25">
        <f t="shared" si="2"/>
        <v>9500</v>
      </c>
      <c r="U8" s="25">
        <f t="shared" si="2"/>
        <v>9500</v>
      </c>
      <c r="V8" s="25">
        <f t="shared" si="2"/>
        <v>9500</v>
      </c>
      <c r="W8" s="25">
        <f t="shared" si="2"/>
        <v>9500</v>
      </c>
      <c r="X8" s="25">
        <f t="shared" si="2"/>
        <v>9500</v>
      </c>
      <c r="Y8" s="25">
        <f t="shared" si="2"/>
        <v>9500</v>
      </c>
      <c r="Z8" s="25">
        <f t="shared" si="2"/>
        <v>9500</v>
      </c>
      <c r="AA8" s="23" t="s">
        <v>31</v>
      </c>
      <c r="AB8" s="26">
        <f>SUM(AB9:AB25)</f>
        <v>9500</v>
      </c>
      <c r="AC8" s="26">
        <f t="shared" ref="AC8:AM8" si="3">SUM(AC9:AC25)</f>
        <v>9500</v>
      </c>
      <c r="AD8" s="26">
        <f t="shared" si="3"/>
        <v>9500</v>
      </c>
      <c r="AE8" s="26">
        <f t="shared" si="3"/>
        <v>9500</v>
      </c>
      <c r="AF8" s="26">
        <f t="shared" si="3"/>
        <v>9500</v>
      </c>
      <c r="AG8" s="26">
        <f t="shared" si="3"/>
        <v>9500</v>
      </c>
      <c r="AH8" s="26">
        <f t="shared" si="3"/>
        <v>9500</v>
      </c>
      <c r="AI8" s="26">
        <f t="shared" si="3"/>
        <v>9500</v>
      </c>
      <c r="AJ8" s="26">
        <f t="shared" si="3"/>
        <v>9500</v>
      </c>
      <c r="AK8" s="26">
        <f t="shared" si="3"/>
        <v>9500</v>
      </c>
      <c r="AL8" s="26">
        <f t="shared" si="3"/>
        <v>9500</v>
      </c>
      <c r="AM8" s="26">
        <f t="shared" si="3"/>
        <v>9500</v>
      </c>
      <c r="AN8" s="27" t="s">
        <v>31</v>
      </c>
      <c r="AO8" s="28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30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</row>
    <row r="9" spans="1:69" x14ac:dyDescent="0.3">
      <c r="A9" s="33" t="s">
        <v>32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3" t="str">
        <f>A9</f>
        <v>Líder de Squad</v>
      </c>
      <c r="O9" s="35">
        <f>15000/3</f>
        <v>5000</v>
      </c>
      <c r="P9" s="35">
        <f t="shared" ref="P9:Z9" si="4">15000/3</f>
        <v>5000</v>
      </c>
      <c r="Q9" s="35">
        <f t="shared" si="4"/>
        <v>5000</v>
      </c>
      <c r="R9" s="35">
        <f t="shared" si="4"/>
        <v>5000</v>
      </c>
      <c r="S9" s="35">
        <f t="shared" si="4"/>
        <v>5000</v>
      </c>
      <c r="T9" s="35">
        <f t="shared" si="4"/>
        <v>5000</v>
      </c>
      <c r="U9" s="35">
        <f t="shared" si="4"/>
        <v>5000</v>
      </c>
      <c r="V9" s="35">
        <f t="shared" si="4"/>
        <v>5000</v>
      </c>
      <c r="W9" s="35">
        <f t="shared" si="4"/>
        <v>5000</v>
      </c>
      <c r="X9" s="35">
        <f t="shared" si="4"/>
        <v>5000</v>
      </c>
      <c r="Y9" s="35">
        <f t="shared" si="4"/>
        <v>5000</v>
      </c>
      <c r="Z9" s="35">
        <f t="shared" si="4"/>
        <v>5000</v>
      </c>
      <c r="AA9" s="33" t="str">
        <f>N9</f>
        <v>Líder de Squad</v>
      </c>
      <c r="AB9" s="35">
        <f>O9*B9</f>
        <v>5000</v>
      </c>
      <c r="AC9" s="35">
        <f t="shared" ref="AC9:AM24" si="5">P9*C9</f>
        <v>5000</v>
      </c>
      <c r="AD9" s="35">
        <f t="shared" si="5"/>
        <v>5000</v>
      </c>
      <c r="AE9" s="35">
        <f t="shared" si="5"/>
        <v>5000</v>
      </c>
      <c r="AF9" s="35">
        <f t="shared" si="5"/>
        <v>5000</v>
      </c>
      <c r="AG9" s="35">
        <f t="shared" si="5"/>
        <v>5000</v>
      </c>
      <c r="AH9" s="35">
        <f t="shared" si="5"/>
        <v>5000</v>
      </c>
      <c r="AI9" s="35">
        <f t="shared" si="5"/>
        <v>5000</v>
      </c>
      <c r="AJ9" s="35">
        <f t="shared" si="5"/>
        <v>5000</v>
      </c>
      <c r="AK9" s="35">
        <f t="shared" si="5"/>
        <v>5000</v>
      </c>
      <c r="AL9" s="35">
        <f t="shared" si="5"/>
        <v>5000</v>
      </c>
      <c r="AM9" s="36">
        <f t="shared" si="5"/>
        <v>5000</v>
      </c>
      <c r="AN9" s="33" t="str">
        <f>AA9</f>
        <v>Líder de Squad</v>
      </c>
      <c r="AO9" s="37">
        <f>-2500/3*B9</f>
        <v>-833.33333333333337</v>
      </c>
      <c r="AP9" s="35">
        <f t="shared" ref="AP9:AZ9" si="6">-2500/3*C9</f>
        <v>-833.33333333333337</v>
      </c>
      <c r="AQ9" s="35">
        <f t="shared" si="6"/>
        <v>-833.33333333333337</v>
      </c>
      <c r="AR9" s="35">
        <f t="shared" si="6"/>
        <v>-833.33333333333337</v>
      </c>
      <c r="AS9" s="35">
        <f t="shared" si="6"/>
        <v>-833.33333333333337</v>
      </c>
      <c r="AT9" s="35">
        <f t="shared" si="6"/>
        <v>-833.33333333333337</v>
      </c>
      <c r="AU9" s="35">
        <f t="shared" si="6"/>
        <v>-833.33333333333337</v>
      </c>
      <c r="AV9" s="35">
        <f t="shared" si="6"/>
        <v>-833.33333333333337</v>
      </c>
      <c r="AW9" s="35">
        <f t="shared" si="6"/>
        <v>-833.33333333333337</v>
      </c>
      <c r="AX9" s="35">
        <f t="shared" si="6"/>
        <v>-833.33333333333337</v>
      </c>
      <c r="AY9" s="35">
        <f t="shared" si="6"/>
        <v>-833.33333333333337</v>
      </c>
      <c r="AZ9" s="36">
        <f t="shared" si="6"/>
        <v>-833.33333333333337</v>
      </c>
      <c r="BA9" s="21" t="s">
        <v>33</v>
      </c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</row>
    <row r="10" spans="1:69" x14ac:dyDescent="0.3">
      <c r="A10" s="33" t="s">
        <v>34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8"/>
      <c r="N10" s="33" t="str">
        <f t="shared" ref="N10:N25" si="7">A10</f>
        <v>Gerente Financeiro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9"/>
      <c r="AA10" s="33" t="str">
        <f t="shared" ref="AA10:AA25" si="8">N10</f>
        <v>Gerente Financeiro</v>
      </c>
      <c r="AB10" s="35">
        <f t="shared" ref="AB10:AM35" si="9">O10*B10</f>
        <v>0</v>
      </c>
      <c r="AC10" s="35">
        <f t="shared" si="5"/>
        <v>0</v>
      </c>
      <c r="AD10" s="35">
        <f t="shared" si="5"/>
        <v>0</v>
      </c>
      <c r="AE10" s="35">
        <f t="shared" si="5"/>
        <v>0</v>
      </c>
      <c r="AF10" s="35">
        <f t="shared" si="5"/>
        <v>0</v>
      </c>
      <c r="AG10" s="35">
        <f t="shared" si="5"/>
        <v>0</v>
      </c>
      <c r="AH10" s="35">
        <f t="shared" si="5"/>
        <v>0</v>
      </c>
      <c r="AI10" s="35">
        <f t="shared" si="5"/>
        <v>0</v>
      </c>
      <c r="AJ10" s="35">
        <f t="shared" si="5"/>
        <v>0</v>
      </c>
      <c r="AK10" s="35">
        <f t="shared" si="5"/>
        <v>0</v>
      </c>
      <c r="AL10" s="35">
        <f t="shared" si="5"/>
        <v>0</v>
      </c>
      <c r="AM10" s="36">
        <f t="shared" si="5"/>
        <v>0</v>
      </c>
      <c r="AN10" s="33" t="str">
        <f t="shared" ref="AN10:AN25" si="10">AA10</f>
        <v>Gerente Financeiro</v>
      </c>
      <c r="AO10" s="37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6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</row>
    <row r="11" spans="1:69" x14ac:dyDescent="0.3">
      <c r="A11" s="33" t="s">
        <v>35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3" t="str">
        <f t="shared" si="7"/>
        <v>Analista Financeiro - Squad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3" t="str">
        <f t="shared" si="8"/>
        <v>Analista Financeiro - Squad</v>
      </c>
      <c r="AB11" s="35">
        <f t="shared" si="9"/>
        <v>0</v>
      </c>
      <c r="AC11" s="35">
        <f t="shared" si="5"/>
        <v>0</v>
      </c>
      <c r="AD11" s="35">
        <f t="shared" si="5"/>
        <v>0</v>
      </c>
      <c r="AE11" s="35">
        <f t="shared" si="5"/>
        <v>0</v>
      </c>
      <c r="AF11" s="35">
        <f t="shared" si="5"/>
        <v>0</v>
      </c>
      <c r="AG11" s="35">
        <f t="shared" si="5"/>
        <v>0</v>
      </c>
      <c r="AH11" s="35">
        <f t="shared" si="5"/>
        <v>0</v>
      </c>
      <c r="AI11" s="35">
        <f t="shared" si="5"/>
        <v>0</v>
      </c>
      <c r="AJ11" s="35">
        <f t="shared" si="5"/>
        <v>0</v>
      </c>
      <c r="AK11" s="35">
        <f t="shared" si="5"/>
        <v>0</v>
      </c>
      <c r="AL11" s="35">
        <f t="shared" si="5"/>
        <v>0</v>
      </c>
      <c r="AM11" s="36">
        <f t="shared" si="5"/>
        <v>0</v>
      </c>
      <c r="AN11" s="33" t="str">
        <f t="shared" si="10"/>
        <v>Analista Financeiro - Squad</v>
      </c>
      <c r="AO11" s="37">
        <f>(1250/3)*B11</f>
        <v>0</v>
      </c>
      <c r="AP11" s="35">
        <f t="shared" ref="AP11:AQ11" si="11">(1250/3)*C11</f>
        <v>0</v>
      </c>
      <c r="AQ11" s="35">
        <f t="shared" si="11"/>
        <v>0</v>
      </c>
      <c r="AR11" s="35"/>
      <c r="AS11" s="35"/>
      <c r="AT11" s="35"/>
      <c r="AU11" s="35"/>
      <c r="AV11" s="35"/>
      <c r="AW11" s="35"/>
      <c r="AX11" s="35"/>
      <c r="AY11" s="35"/>
      <c r="AZ11" s="36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</row>
    <row r="12" spans="1:69" x14ac:dyDescent="0.3">
      <c r="A12" s="33" t="s">
        <v>36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8"/>
      <c r="N12" s="33" t="str">
        <f t="shared" si="7"/>
        <v>Assistente Financeiro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9"/>
      <c r="AA12" s="33" t="str">
        <f t="shared" si="8"/>
        <v>Assistente Financeiro</v>
      </c>
      <c r="AB12" s="35">
        <f t="shared" si="9"/>
        <v>0</v>
      </c>
      <c r="AC12" s="35">
        <f t="shared" si="5"/>
        <v>0</v>
      </c>
      <c r="AD12" s="35">
        <f t="shared" si="5"/>
        <v>0</v>
      </c>
      <c r="AE12" s="35">
        <f t="shared" si="5"/>
        <v>0</v>
      </c>
      <c r="AF12" s="35">
        <f t="shared" si="5"/>
        <v>0</v>
      </c>
      <c r="AG12" s="35">
        <f t="shared" si="5"/>
        <v>0</v>
      </c>
      <c r="AH12" s="35">
        <f t="shared" si="5"/>
        <v>0</v>
      </c>
      <c r="AI12" s="35">
        <f t="shared" si="5"/>
        <v>0</v>
      </c>
      <c r="AJ12" s="35">
        <f t="shared" si="5"/>
        <v>0</v>
      </c>
      <c r="AK12" s="35">
        <f t="shared" si="5"/>
        <v>0</v>
      </c>
      <c r="AL12" s="35">
        <f t="shared" si="5"/>
        <v>0</v>
      </c>
      <c r="AM12" s="36">
        <f t="shared" si="5"/>
        <v>0</v>
      </c>
      <c r="AN12" s="33" t="str">
        <f t="shared" si="10"/>
        <v>Assistente Financeiro</v>
      </c>
      <c r="AO12" s="37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6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</row>
    <row r="13" spans="1:69" x14ac:dyDescent="0.3">
      <c r="A13" s="33" t="s">
        <v>37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8"/>
      <c r="N13" s="33" t="str">
        <f t="shared" si="7"/>
        <v>Gerente de Eventos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9"/>
      <c r="AA13" s="33" t="str">
        <f t="shared" si="8"/>
        <v>Gerente de Eventos</v>
      </c>
      <c r="AB13" s="35">
        <f t="shared" si="9"/>
        <v>0</v>
      </c>
      <c r="AC13" s="35">
        <f t="shared" si="5"/>
        <v>0</v>
      </c>
      <c r="AD13" s="35">
        <f t="shared" si="5"/>
        <v>0</v>
      </c>
      <c r="AE13" s="35">
        <f t="shared" si="5"/>
        <v>0</v>
      </c>
      <c r="AF13" s="35">
        <f t="shared" si="5"/>
        <v>0</v>
      </c>
      <c r="AG13" s="35">
        <f t="shared" si="5"/>
        <v>0</v>
      </c>
      <c r="AH13" s="35">
        <f t="shared" si="5"/>
        <v>0</v>
      </c>
      <c r="AI13" s="35">
        <f t="shared" si="5"/>
        <v>0</v>
      </c>
      <c r="AJ13" s="35">
        <f t="shared" si="5"/>
        <v>0</v>
      </c>
      <c r="AK13" s="35">
        <f t="shared" si="5"/>
        <v>0</v>
      </c>
      <c r="AL13" s="35">
        <f t="shared" si="5"/>
        <v>0</v>
      </c>
      <c r="AM13" s="36">
        <f t="shared" si="5"/>
        <v>0</v>
      </c>
      <c r="AN13" s="33" t="str">
        <f t="shared" si="10"/>
        <v>Gerente de Eventos</v>
      </c>
      <c r="AO13" s="37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6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</row>
    <row r="14" spans="1:69" x14ac:dyDescent="0.3">
      <c r="A14" s="33" t="s">
        <v>38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8"/>
      <c r="N14" s="33" t="str">
        <f t="shared" si="7"/>
        <v>Coordenador de Eventos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9"/>
      <c r="AA14" s="33" t="str">
        <f t="shared" si="8"/>
        <v>Coordenador de Eventos</v>
      </c>
      <c r="AB14" s="35">
        <f t="shared" si="9"/>
        <v>0</v>
      </c>
      <c r="AC14" s="35">
        <f t="shared" si="5"/>
        <v>0</v>
      </c>
      <c r="AD14" s="35">
        <f t="shared" si="5"/>
        <v>0</v>
      </c>
      <c r="AE14" s="35">
        <f t="shared" si="5"/>
        <v>0</v>
      </c>
      <c r="AF14" s="35">
        <f t="shared" si="5"/>
        <v>0</v>
      </c>
      <c r="AG14" s="35">
        <f t="shared" si="5"/>
        <v>0</v>
      </c>
      <c r="AH14" s="35">
        <f t="shared" si="5"/>
        <v>0</v>
      </c>
      <c r="AI14" s="35">
        <f t="shared" si="5"/>
        <v>0</v>
      </c>
      <c r="AJ14" s="35">
        <f t="shared" si="5"/>
        <v>0</v>
      </c>
      <c r="AK14" s="35">
        <f t="shared" si="5"/>
        <v>0</v>
      </c>
      <c r="AL14" s="35">
        <f t="shared" si="5"/>
        <v>0</v>
      </c>
      <c r="AM14" s="36">
        <f t="shared" si="5"/>
        <v>0</v>
      </c>
      <c r="AN14" s="33" t="str">
        <f t="shared" si="10"/>
        <v>Coordenador de Eventos</v>
      </c>
      <c r="AO14" s="37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6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</row>
    <row r="15" spans="1:69" x14ac:dyDescent="0.3">
      <c r="A15" s="33" t="s">
        <v>39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3" t="str">
        <f t="shared" si="7"/>
        <v>Analista de Eventos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3" t="str">
        <f t="shared" si="8"/>
        <v>Analista de Eventos</v>
      </c>
      <c r="AB15" s="35">
        <f t="shared" si="9"/>
        <v>0</v>
      </c>
      <c r="AC15" s="35">
        <f t="shared" si="5"/>
        <v>0</v>
      </c>
      <c r="AD15" s="35">
        <f t="shared" si="5"/>
        <v>0</v>
      </c>
      <c r="AE15" s="35">
        <f t="shared" si="5"/>
        <v>0</v>
      </c>
      <c r="AF15" s="35">
        <f t="shared" si="5"/>
        <v>0</v>
      </c>
      <c r="AG15" s="35">
        <f t="shared" si="5"/>
        <v>0</v>
      </c>
      <c r="AH15" s="35">
        <f t="shared" si="5"/>
        <v>0</v>
      </c>
      <c r="AI15" s="35">
        <f t="shared" si="5"/>
        <v>0</v>
      </c>
      <c r="AJ15" s="35">
        <f t="shared" si="5"/>
        <v>0</v>
      </c>
      <c r="AK15" s="35">
        <f t="shared" si="5"/>
        <v>0</v>
      </c>
      <c r="AL15" s="35">
        <f t="shared" si="5"/>
        <v>0</v>
      </c>
      <c r="AM15" s="36">
        <f t="shared" si="5"/>
        <v>0</v>
      </c>
      <c r="AN15" s="33" t="str">
        <f t="shared" si="10"/>
        <v>Analista de Eventos</v>
      </c>
      <c r="AO15" s="37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6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</row>
    <row r="16" spans="1:69" x14ac:dyDescent="0.3">
      <c r="A16" s="33" t="s">
        <v>40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8"/>
      <c r="N16" s="33" t="str">
        <f t="shared" si="7"/>
        <v>Assistente de Eventos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9"/>
      <c r="AA16" s="33" t="str">
        <f t="shared" si="8"/>
        <v>Assistente de Eventos</v>
      </c>
      <c r="AB16" s="35">
        <f t="shared" si="9"/>
        <v>0</v>
      </c>
      <c r="AC16" s="35">
        <f t="shared" si="5"/>
        <v>0</v>
      </c>
      <c r="AD16" s="35">
        <f t="shared" si="5"/>
        <v>0</v>
      </c>
      <c r="AE16" s="35">
        <f t="shared" si="5"/>
        <v>0</v>
      </c>
      <c r="AF16" s="35">
        <f t="shared" si="5"/>
        <v>0</v>
      </c>
      <c r="AG16" s="35">
        <f t="shared" si="5"/>
        <v>0</v>
      </c>
      <c r="AH16" s="35">
        <f t="shared" si="5"/>
        <v>0</v>
      </c>
      <c r="AI16" s="35">
        <f t="shared" si="5"/>
        <v>0</v>
      </c>
      <c r="AJ16" s="35">
        <f t="shared" si="5"/>
        <v>0</v>
      </c>
      <c r="AK16" s="35">
        <f t="shared" si="5"/>
        <v>0</v>
      </c>
      <c r="AL16" s="35">
        <f t="shared" si="5"/>
        <v>0</v>
      </c>
      <c r="AM16" s="36">
        <f t="shared" si="5"/>
        <v>0</v>
      </c>
      <c r="AN16" s="33" t="str">
        <f t="shared" si="10"/>
        <v>Assistente de Eventos</v>
      </c>
      <c r="AO16" s="37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6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</row>
    <row r="17" spans="1:69" x14ac:dyDescent="0.3">
      <c r="A17" s="33" t="s">
        <v>41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8"/>
      <c r="N17" s="33" t="str">
        <f t="shared" si="7"/>
        <v>Produtor de Eventos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9"/>
      <c r="AA17" s="33" t="str">
        <f t="shared" si="8"/>
        <v>Produtor de Eventos</v>
      </c>
      <c r="AB17" s="35">
        <f t="shared" si="9"/>
        <v>0</v>
      </c>
      <c r="AC17" s="35">
        <f t="shared" si="5"/>
        <v>0</v>
      </c>
      <c r="AD17" s="35">
        <f t="shared" si="5"/>
        <v>0</v>
      </c>
      <c r="AE17" s="35">
        <f t="shared" si="5"/>
        <v>0</v>
      </c>
      <c r="AF17" s="35">
        <f t="shared" si="5"/>
        <v>0</v>
      </c>
      <c r="AG17" s="35">
        <f t="shared" si="5"/>
        <v>0</v>
      </c>
      <c r="AH17" s="35">
        <f t="shared" si="5"/>
        <v>0</v>
      </c>
      <c r="AI17" s="35">
        <f t="shared" si="5"/>
        <v>0</v>
      </c>
      <c r="AJ17" s="35">
        <f t="shared" si="5"/>
        <v>0</v>
      </c>
      <c r="AK17" s="35">
        <f t="shared" si="5"/>
        <v>0</v>
      </c>
      <c r="AL17" s="35">
        <f t="shared" si="5"/>
        <v>0</v>
      </c>
      <c r="AM17" s="36">
        <f t="shared" si="5"/>
        <v>0</v>
      </c>
      <c r="AN17" s="33" t="str">
        <f t="shared" si="10"/>
        <v>Produtor de Eventos</v>
      </c>
      <c r="AO17" s="37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6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</row>
    <row r="18" spans="1:69" x14ac:dyDescent="0.3">
      <c r="A18" s="33" t="s">
        <v>42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8"/>
      <c r="N18" s="33" t="str">
        <f t="shared" si="7"/>
        <v>Gerente de Marketing</v>
      </c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9"/>
      <c r="AA18" s="33" t="str">
        <f t="shared" si="8"/>
        <v>Gerente de Marketing</v>
      </c>
      <c r="AB18" s="35">
        <f t="shared" si="9"/>
        <v>0</v>
      </c>
      <c r="AC18" s="35">
        <f t="shared" si="5"/>
        <v>0</v>
      </c>
      <c r="AD18" s="35">
        <f t="shared" si="5"/>
        <v>0</v>
      </c>
      <c r="AE18" s="35">
        <f t="shared" si="5"/>
        <v>0</v>
      </c>
      <c r="AF18" s="35">
        <f t="shared" si="5"/>
        <v>0</v>
      </c>
      <c r="AG18" s="35">
        <f t="shared" si="5"/>
        <v>0</v>
      </c>
      <c r="AH18" s="35">
        <f t="shared" si="5"/>
        <v>0</v>
      </c>
      <c r="AI18" s="35">
        <f t="shared" si="5"/>
        <v>0</v>
      </c>
      <c r="AJ18" s="35">
        <f t="shared" si="5"/>
        <v>0</v>
      </c>
      <c r="AK18" s="35">
        <f t="shared" si="5"/>
        <v>0</v>
      </c>
      <c r="AL18" s="35">
        <f t="shared" si="5"/>
        <v>0</v>
      </c>
      <c r="AM18" s="36">
        <f t="shared" si="5"/>
        <v>0</v>
      </c>
      <c r="AN18" s="33" t="str">
        <f t="shared" si="10"/>
        <v>Gerente de Marketing</v>
      </c>
      <c r="AO18" s="37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6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</row>
    <row r="19" spans="1:69" x14ac:dyDescent="0.3">
      <c r="A19" s="33" t="s">
        <v>43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8"/>
      <c r="N19" s="33" t="str">
        <f t="shared" si="7"/>
        <v>Coordenador de Marketing</v>
      </c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9"/>
      <c r="AA19" s="33" t="str">
        <f t="shared" si="8"/>
        <v>Coordenador de Marketing</v>
      </c>
      <c r="AB19" s="35">
        <f t="shared" si="9"/>
        <v>0</v>
      </c>
      <c r="AC19" s="35">
        <f t="shared" si="5"/>
        <v>0</v>
      </c>
      <c r="AD19" s="35">
        <f t="shared" si="5"/>
        <v>0</v>
      </c>
      <c r="AE19" s="35">
        <f t="shared" si="5"/>
        <v>0</v>
      </c>
      <c r="AF19" s="35">
        <f t="shared" si="5"/>
        <v>0</v>
      </c>
      <c r="AG19" s="35">
        <f t="shared" si="5"/>
        <v>0</v>
      </c>
      <c r="AH19" s="35">
        <f t="shared" si="5"/>
        <v>0</v>
      </c>
      <c r="AI19" s="35">
        <f t="shared" si="5"/>
        <v>0</v>
      </c>
      <c r="AJ19" s="35">
        <f t="shared" si="5"/>
        <v>0</v>
      </c>
      <c r="AK19" s="35">
        <f t="shared" si="5"/>
        <v>0</v>
      </c>
      <c r="AL19" s="35">
        <f t="shared" si="5"/>
        <v>0</v>
      </c>
      <c r="AM19" s="36">
        <f t="shared" si="5"/>
        <v>0</v>
      </c>
      <c r="AN19" s="33" t="str">
        <f t="shared" si="10"/>
        <v>Coordenador de Marketing</v>
      </c>
      <c r="AO19" s="37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6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</row>
    <row r="20" spans="1:69" x14ac:dyDescent="0.3">
      <c r="A20" s="33" t="s">
        <v>44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8"/>
      <c r="N20" s="33" t="str">
        <f t="shared" si="7"/>
        <v>Analista de Marketing</v>
      </c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9"/>
      <c r="AA20" s="33" t="str">
        <f t="shared" si="8"/>
        <v>Analista de Marketing</v>
      </c>
      <c r="AB20" s="35">
        <f t="shared" si="9"/>
        <v>0</v>
      </c>
      <c r="AC20" s="35">
        <f t="shared" si="5"/>
        <v>0</v>
      </c>
      <c r="AD20" s="35">
        <f t="shared" si="5"/>
        <v>0</v>
      </c>
      <c r="AE20" s="35">
        <f t="shared" si="5"/>
        <v>0</v>
      </c>
      <c r="AF20" s="35">
        <f t="shared" si="5"/>
        <v>0</v>
      </c>
      <c r="AG20" s="35">
        <f t="shared" si="5"/>
        <v>0</v>
      </c>
      <c r="AH20" s="35">
        <f t="shared" si="5"/>
        <v>0</v>
      </c>
      <c r="AI20" s="35">
        <f t="shared" si="5"/>
        <v>0</v>
      </c>
      <c r="AJ20" s="35">
        <f t="shared" si="5"/>
        <v>0</v>
      </c>
      <c r="AK20" s="35">
        <f t="shared" si="5"/>
        <v>0</v>
      </c>
      <c r="AL20" s="35">
        <f t="shared" si="5"/>
        <v>0</v>
      </c>
      <c r="AM20" s="36">
        <f t="shared" si="5"/>
        <v>0</v>
      </c>
      <c r="AN20" s="33" t="str">
        <f t="shared" si="10"/>
        <v>Analista de Marketing</v>
      </c>
      <c r="AO20" s="37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6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</row>
    <row r="21" spans="1:69" x14ac:dyDescent="0.3">
      <c r="A21" s="33" t="s">
        <v>45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8"/>
      <c r="N21" s="33" t="str">
        <f t="shared" si="7"/>
        <v>Assistente de Marketing</v>
      </c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9"/>
      <c r="AA21" s="33" t="str">
        <f t="shared" si="8"/>
        <v>Assistente de Marketing</v>
      </c>
      <c r="AB21" s="35">
        <f t="shared" si="9"/>
        <v>0</v>
      </c>
      <c r="AC21" s="35">
        <f t="shared" si="5"/>
        <v>0</v>
      </c>
      <c r="AD21" s="35">
        <f t="shared" si="5"/>
        <v>0</v>
      </c>
      <c r="AE21" s="35">
        <f t="shared" si="5"/>
        <v>0</v>
      </c>
      <c r="AF21" s="35">
        <f t="shared" si="5"/>
        <v>0</v>
      </c>
      <c r="AG21" s="35">
        <f t="shared" si="5"/>
        <v>0</v>
      </c>
      <c r="AH21" s="35">
        <f t="shared" si="5"/>
        <v>0</v>
      </c>
      <c r="AI21" s="35">
        <f t="shared" si="5"/>
        <v>0</v>
      </c>
      <c r="AJ21" s="35">
        <f t="shared" si="5"/>
        <v>0</v>
      </c>
      <c r="AK21" s="35">
        <f t="shared" si="5"/>
        <v>0</v>
      </c>
      <c r="AL21" s="35">
        <f t="shared" si="5"/>
        <v>0</v>
      </c>
      <c r="AM21" s="36">
        <f t="shared" si="5"/>
        <v>0</v>
      </c>
      <c r="AN21" s="33" t="str">
        <f t="shared" si="10"/>
        <v>Assistente de Marketing</v>
      </c>
      <c r="AO21" s="37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6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</row>
    <row r="22" spans="1:69" x14ac:dyDescent="0.3">
      <c r="A22" s="33" t="s">
        <v>46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3" t="str">
        <f t="shared" si="7"/>
        <v>Curador Artístico</v>
      </c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9"/>
      <c r="AA22" s="33" t="str">
        <f t="shared" si="8"/>
        <v>Curador Artístico</v>
      </c>
      <c r="AB22" s="35">
        <f t="shared" si="9"/>
        <v>0</v>
      </c>
      <c r="AC22" s="35">
        <f t="shared" si="5"/>
        <v>0</v>
      </c>
      <c r="AD22" s="35">
        <f t="shared" si="5"/>
        <v>0</v>
      </c>
      <c r="AE22" s="35">
        <f t="shared" si="5"/>
        <v>0</v>
      </c>
      <c r="AF22" s="35">
        <f t="shared" si="5"/>
        <v>0</v>
      </c>
      <c r="AG22" s="35">
        <f t="shared" si="5"/>
        <v>0</v>
      </c>
      <c r="AH22" s="35">
        <f t="shared" si="5"/>
        <v>0</v>
      </c>
      <c r="AI22" s="35">
        <f t="shared" si="5"/>
        <v>0</v>
      </c>
      <c r="AJ22" s="35">
        <f t="shared" si="5"/>
        <v>0</v>
      </c>
      <c r="AK22" s="35">
        <f t="shared" si="5"/>
        <v>0</v>
      </c>
      <c r="AL22" s="35">
        <f t="shared" si="5"/>
        <v>0</v>
      </c>
      <c r="AM22" s="36">
        <f t="shared" si="5"/>
        <v>0</v>
      </c>
      <c r="AN22" s="33" t="str">
        <f t="shared" si="10"/>
        <v>Curador Artístico</v>
      </c>
      <c r="AO22" s="37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6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</row>
    <row r="23" spans="1:69" x14ac:dyDescent="0.3">
      <c r="A23" s="33" t="s">
        <v>47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8"/>
      <c r="N23" s="33" t="str">
        <f t="shared" si="7"/>
        <v>Produtor Artístico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9"/>
      <c r="AA23" s="33" t="str">
        <f t="shared" si="8"/>
        <v>Produtor Artístico</v>
      </c>
      <c r="AB23" s="35">
        <f t="shared" si="9"/>
        <v>0</v>
      </c>
      <c r="AC23" s="35">
        <f t="shared" si="5"/>
        <v>0</v>
      </c>
      <c r="AD23" s="35">
        <f t="shared" si="5"/>
        <v>0</v>
      </c>
      <c r="AE23" s="35">
        <f t="shared" si="5"/>
        <v>0</v>
      </c>
      <c r="AF23" s="35">
        <f t="shared" si="5"/>
        <v>0</v>
      </c>
      <c r="AG23" s="35">
        <f t="shared" si="5"/>
        <v>0</v>
      </c>
      <c r="AH23" s="35">
        <f t="shared" si="5"/>
        <v>0</v>
      </c>
      <c r="AI23" s="35">
        <f t="shared" si="5"/>
        <v>0</v>
      </c>
      <c r="AJ23" s="35">
        <f t="shared" si="5"/>
        <v>0</v>
      </c>
      <c r="AK23" s="35">
        <f t="shared" si="5"/>
        <v>0</v>
      </c>
      <c r="AL23" s="35">
        <f t="shared" si="5"/>
        <v>0</v>
      </c>
      <c r="AM23" s="36">
        <f t="shared" si="5"/>
        <v>0</v>
      </c>
      <c r="AN23" s="33" t="str">
        <f t="shared" si="10"/>
        <v>Produtor Artístico</v>
      </c>
      <c r="AO23" s="37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6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</row>
    <row r="24" spans="1:69" x14ac:dyDescent="0.3">
      <c r="A24" s="33" t="s">
        <v>48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3" t="str">
        <f t="shared" si="7"/>
        <v>Chefe de Manutenção</v>
      </c>
      <c r="O24" s="35">
        <v>4500</v>
      </c>
      <c r="P24" s="35">
        <v>4500</v>
      </c>
      <c r="Q24" s="35">
        <v>4500</v>
      </c>
      <c r="R24" s="35">
        <v>4500</v>
      </c>
      <c r="S24" s="35">
        <v>4500</v>
      </c>
      <c r="T24" s="35">
        <v>4500</v>
      </c>
      <c r="U24" s="35">
        <v>4500</v>
      </c>
      <c r="V24" s="35">
        <v>4500</v>
      </c>
      <c r="W24" s="35">
        <v>4500</v>
      </c>
      <c r="X24" s="35">
        <v>4500</v>
      </c>
      <c r="Y24" s="35">
        <v>4500</v>
      </c>
      <c r="Z24" s="35">
        <v>4500</v>
      </c>
      <c r="AA24" s="33" t="str">
        <f t="shared" si="8"/>
        <v>Chefe de Manutenção</v>
      </c>
      <c r="AB24" s="35">
        <f t="shared" si="9"/>
        <v>4500</v>
      </c>
      <c r="AC24" s="35">
        <f t="shared" si="5"/>
        <v>4500</v>
      </c>
      <c r="AD24" s="35">
        <f t="shared" si="5"/>
        <v>4500</v>
      </c>
      <c r="AE24" s="35">
        <f t="shared" si="5"/>
        <v>4500</v>
      </c>
      <c r="AF24" s="35">
        <f t="shared" si="5"/>
        <v>4500</v>
      </c>
      <c r="AG24" s="35">
        <f t="shared" si="5"/>
        <v>4500</v>
      </c>
      <c r="AH24" s="35">
        <f t="shared" si="5"/>
        <v>4500</v>
      </c>
      <c r="AI24" s="35">
        <f t="shared" si="5"/>
        <v>4500</v>
      </c>
      <c r="AJ24" s="35">
        <f t="shared" si="5"/>
        <v>4500</v>
      </c>
      <c r="AK24" s="35">
        <f t="shared" si="5"/>
        <v>4500</v>
      </c>
      <c r="AL24" s="35">
        <f t="shared" si="5"/>
        <v>4500</v>
      </c>
      <c r="AM24" s="36">
        <f t="shared" si="5"/>
        <v>4500</v>
      </c>
      <c r="AN24" s="33" t="str">
        <f t="shared" si="10"/>
        <v>Chefe de Manutenção</v>
      </c>
      <c r="AO24" s="37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6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</row>
    <row r="25" spans="1:69" x14ac:dyDescent="0.3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8"/>
      <c r="N25" s="33">
        <f t="shared" si="7"/>
        <v>0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9"/>
      <c r="AA25" s="33">
        <f t="shared" si="8"/>
        <v>0</v>
      </c>
      <c r="AB25" s="35">
        <f t="shared" si="9"/>
        <v>0</v>
      </c>
      <c r="AC25" s="35">
        <f t="shared" si="9"/>
        <v>0</v>
      </c>
      <c r="AD25" s="35">
        <f t="shared" si="9"/>
        <v>0</v>
      </c>
      <c r="AE25" s="35">
        <f t="shared" si="9"/>
        <v>0</v>
      </c>
      <c r="AF25" s="35">
        <f t="shared" si="9"/>
        <v>0</v>
      </c>
      <c r="AG25" s="35">
        <f t="shared" si="9"/>
        <v>0</v>
      </c>
      <c r="AH25" s="35">
        <f t="shared" si="9"/>
        <v>0</v>
      </c>
      <c r="AI25" s="35">
        <f t="shared" si="9"/>
        <v>0</v>
      </c>
      <c r="AJ25" s="35">
        <f t="shared" si="9"/>
        <v>0</v>
      </c>
      <c r="AK25" s="35">
        <f t="shared" si="9"/>
        <v>0</v>
      </c>
      <c r="AL25" s="35">
        <f t="shared" si="9"/>
        <v>0</v>
      </c>
      <c r="AM25" s="36">
        <f t="shared" si="9"/>
        <v>0</v>
      </c>
      <c r="AN25" s="33">
        <f t="shared" si="10"/>
        <v>0</v>
      </c>
      <c r="AO25" s="37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6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</row>
    <row r="26" spans="1:69" s="32" customFormat="1" x14ac:dyDescent="0.3">
      <c r="A26" s="27" t="s">
        <v>49</v>
      </c>
      <c r="B26" s="29">
        <f t="shared" ref="B26:M26" si="12">SUM(B27:B37)</f>
        <v>12</v>
      </c>
      <c r="C26" s="29">
        <f t="shared" si="12"/>
        <v>12</v>
      </c>
      <c r="D26" s="29">
        <f t="shared" si="12"/>
        <v>12</v>
      </c>
      <c r="E26" s="29">
        <f t="shared" si="12"/>
        <v>12</v>
      </c>
      <c r="F26" s="29">
        <f t="shared" si="12"/>
        <v>11</v>
      </c>
      <c r="G26" s="29">
        <f t="shared" si="12"/>
        <v>11</v>
      </c>
      <c r="H26" s="29">
        <f t="shared" si="12"/>
        <v>11</v>
      </c>
      <c r="I26" s="29">
        <f t="shared" si="12"/>
        <v>11</v>
      </c>
      <c r="J26" s="29">
        <f t="shared" si="12"/>
        <v>11</v>
      </c>
      <c r="K26" s="29">
        <f t="shared" si="12"/>
        <v>11</v>
      </c>
      <c r="L26" s="29">
        <f t="shared" si="12"/>
        <v>11</v>
      </c>
      <c r="M26" s="40">
        <f t="shared" si="12"/>
        <v>11</v>
      </c>
      <c r="N26" s="27" t="s">
        <v>49</v>
      </c>
      <c r="O26" s="41">
        <f>SUM(O27:O37)</f>
        <v>29660</v>
      </c>
      <c r="P26" s="41">
        <f t="shared" ref="P26:Z26" si="13">SUM(P27:P37)</f>
        <v>29660</v>
      </c>
      <c r="Q26" s="41">
        <f t="shared" si="13"/>
        <v>29660</v>
      </c>
      <c r="R26" s="41">
        <f t="shared" si="13"/>
        <v>29660</v>
      </c>
      <c r="S26" s="41">
        <f t="shared" si="13"/>
        <v>29660</v>
      </c>
      <c r="T26" s="41">
        <f t="shared" si="13"/>
        <v>29660</v>
      </c>
      <c r="U26" s="41">
        <f t="shared" si="13"/>
        <v>29660</v>
      </c>
      <c r="V26" s="41">
        <f t="shared" si="13"/>
        <v>29660</v>
      </c>
      <c r="W26" s="41">
        <f t="shared" si="13"/>
        <v>29660</v>
      </c>
      <c r="X26" s="41">
        <f t="shared" si="13"/>
        <v>29660</v>
      </c>
      <c r="Y26" s="41">
        <f t="shared" si="13"/>
        <v>29660</v>
      </c>
      <c r="Z26" s="41">
        <f t="shared" si="13"/>
        <v>29660</v>
      </c>
      <c r="AA26" s="27" t="s">
        <v>49</v>
      </c>
      <c r="AB26" s="29">
        <f>SUM(AB27:AB37)</f>
        <v>60360</v>
      </c>
      <c r="AC26" s="29">
        <f t="shared" ref="AC26:AM26" si="14">SUM(AC27:AC37)</f>
        <v>60360</v>
      </c>
      <c r="AD26" s="29">
        <f t="shared" si="14"/>
        <v>60360</v>
      </c>
      <c r="AE26" s="29">
        <f t="shared" si="14"/>
        <v>60360</v>
      </c>
      <c r="AF26" s="29">
        <f t="shared" si="14"/>
        <v>53760</v>
      </c>
      <c r="AG26" s="29">
        <f t="shared" si="14"/>
        <v>53760</v>
      </c>
      <c r="AH26" s="29">
        <f t="shared" si="14"/>
        <v>53760</v>
      </c>
      <c r="AI26" s="29">
        <f t="shared" si="14"/>
        <v>53760</v>
      </c>
      <c r="AJ26" s="29">
        <f t="shared" si="14"/>
        <v>53760</v>
      </c>
      <c r="AK26" s="29">
        <f t="shared" si="14"/>
        <v>53760</v>
      </c>
      <c r="AL26" s="29">
        <f t="shared" si="14"/>
        <v>53760</v>
      </c>
      <c r="AM26" s="29">
        <f t="shared" si="14"/>
        <v>53760</v>
      </c>
      <c r="AN26" s="27" t="s">
        <v>49</v>
      </c>
      <c r="AO26" s="28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30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</row>
    <row r="27" spans="1:69" x14ac:dyDescent="0.3">
      <c r="A27" s="33" t="s">
        <v>50</v>
      </c>
      <c r="B27" s="34">
        <v>3</v>
      </c>
      <c r="C27" s="34">
        <v>3</v>
      </c>
      <c r="D27" s="34">
        <v>3</v>
      </c>
      <c r="E27" s="34">
        <v>3</v>
      </c>
      <c r="F27" s="34">
        <v>2</v>
      </c>
      <c r="G27" s="34">
        <v>2</v>
      </c>
      <c r="H27" s="34">
        <v>2</v>
      </c>
      <c r="I27" s="34">
        <v>2</v>
      </c>
      <c r="J27" s="34">
        <v>2</v>
      </c>
      <c r="K27" s="34">
        <v>2</v>
      </c>
      <c r="L27" s="34">
        <v>2</v>
      </c>
      <c r="M27" s="34">
        <v>2</v>
      </c>
      <c r="N27" s="33" t="str">
        <f>A27</f>
        <v xml:space="preserve">  - Gerente</v>
      </c>
      <c r="O27" s="35">
        <v>6600</v>
      </c>
      <c r="P27" s="35">
        <v>6600</v>
      </c>
      <c r="Q27" s="35">
        <v>6600</v>
      </c>
      <c r="R27" s="35">
        <v>6600</v>
      </c>
      <c r="S27" s="35">
        <v>6600</v>
      </c>
      <c r="T27" s="35">
        <v>6600</v>
      </c>
      <c r="U27" s="35">
        <v>6600</v>
      </c>
      <c r="V27" s="35">
        <v>6600</v>
      </c>
      <c r="W27" s="35">
        <v>6600</v>
      </c>
      <c r="X27" s="35">
        <v>6600</v>
      </c>
      <c r="Y27" s="35">
        <v>6600</v>
      </c>
      <c r="Z27" s="35">
        <v>6600</v>
      </c>
      <c r="AA27" s="33" t="str">
        <f>N27</f>
        <v xml:space="preserve">  - Gerente</v>
      </c>
      <c r="AB27" s="35">
        <f t="shared" si="9"/>
        <v>19800</v>
      </c>
      <c r="AC27" s="35">
        <f t="shared" si="9"/>
        <v>19800</v>
      </c>
      <c r="AD27" s="35">
        <f t="shared" si="9"/>
        <v>19800</v>
      </c>
      <c r="AE27" s="35">
        <f t="shared" si="9"/>
        <v>19800</v>
      </c>
      <c r="AF27" s="35">
        <f t="shared" si="9"/>
        <v>13200</v>
      </c>
      <c r="AG27" s="35">
        <f t="shared" si="9"/>
        <v>13200</v>
      </c>
      <c r="AH27" s="35">
        <f t="shared" si="9"/>
        <v>13200</v>
      </c>
      <c r="AI27" s="35">
        <f t="shared" si="9"/>
        <v>13200</v>
      </c>
      <c r="AJ27" s="35">
        <f t="shared" si="9"/>
        <v>13200</v>
      </c>
      <c r="AK27" s="35">
        <f t="shared" si="9"/>
        <v>13200</v>
      </c>
      <c r="AL27" s="35">
        <f t="shared" si="9"/>
        <v>13200</v>
      </c>
      <c r="AM27" s="36">
        <f t="shared" si="9"/>
        <v>13200</v>
      </c>
      <c r="AN27" s="33" t="str">
        <f>AA27</f>
        <v xml:space="preserve">  - Gerente</v>
      </c>
      <c r="AO27" s="37">
        <f>-((65*2)*6+500)*B27</f>
        <v>-3840</v>
      </c>
      <c r="AP27" s="35">
        <f t="shared" ref="AP27:AZ37" si="15">-((65*2)*6+500)*C27</f>
        <v>-3840</v>
      </c>
      <c r="AQ27" s="35">
        <f t="shared" si="15"/>
        <v>-3840</v>
      </c>
      <c r="AR27" s="35">
        <f t="shared" si="15"/>
        <v>-3840</v>
      </c>
      <c r="AS27" s="35">
        <f t="shared" si="15"/>
        <v>-2560</v>
      </c>
      <c r="AT27" s="35">
        <f t="shared" si="15"/>
        <v>-2560</v>
      </c>
      <c r="AU27" s="35">
        <f t="shared" si="15"/>
        <v>-2560</v>
      </c>
      <c r="AV27" s="35">
        <f t="shared" si="15"/>
        <v>-2560</v>
      </c>
      <c r="AW27" s="35">
        <f t="shared" si="15"/>
        <v>-2560</v>
      </c>
      <c r="AX27" s="35">
        <f t="shared" si="15"/>
        <v>-2560</v>
      </c>
      <c r="AY27" s="35">
        <f t="shared" si="15"/>
        <v>-2560</v>
      </c>
      <c r="AZ27" s="36">
        <f t="shared" si="15"/>
        <v>-2560</v>
      </c>
      <c r="BA27" s="21" t="s">
        <v>51</v>
      </c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</row>
    <row r="28" spans="1:69" x14ac:dyDescent="0.3">
      <c r="A28" s="33" t="s">
        <v>52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3" t="str">
        <f t="shared" ref="N28:N37" si="16">A28</f>
        <v xml:space="preserve">  - Subgerente</v>
      </c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3" t="str">
        <f t="shared" ref="AA28:AA37" si="17">N28</f>
        <v xml:space="preserve">  - Subgerente</v>
      </c>
      <c r="AB28" s="35">
        <f t="shared" si="9"/>
        <v>0</v>
      </c>
      <c r="AC28" s="35">
        <f t="shared" si="9"/>
        <v>0</v>
      </c>
      <c r="AD28" s="35">
        <f t="shared" si="9"/>
        <v>0</v>
      </c>
      <c r="AE28" s="35">
        <f t="shared" si="9"/>
        <v>0</v>
      </c>
      <c r="AF28" s="35">
        <f t="shared" si="9"/>
        <v>0</v>
      </c>
      <c r="AG28" s="35">
        <f t="shared" si="9"/>
        <v>0</v>
      </c>
      <c r="AH28" s="35">
        <f t="shared" si="9"/>
        <v>0</v>
      </c>
      <c r="AI28" s="35">
        <f t="shared" si="9"/>
        <v>0</v>
      </c>
      <c r="AJ28" s="35">
        <f t="shared" si="9"/>
        <v>0</v>
      </c>
      <c r="AK28" s="35">
        <f t="shared" si="9"/>
        <v>0</v>
      </c>
      <c r="AL28" s="35">
        <f t="shared" si="9"/>
        <v>0</v>
      </c>
      <c r="AM28" s="36">
        <f t="shared" si="9"/>
        <v>0</v>
      </c>
      <c r="AN28" s="33" t="str">
        <f t="shared" ref="AN28:AN37" si="18">AA28</f>
        <v xml:space="preserve">  - Subgerente</v>
      </c>
      <c r="AO28" s="37">
        <f t="shared" ref="AO28:AO37" si="19">-((65*2)*6+500)*B28</f>
        <v>0</v>
      </c>
      <c r="AP28" s="35">
        <f t="shared" si="15"/>
        <v>0</v>
      </c>
      <c r="AQ28" s="35">
        <f t="shared" si="15"/>
        <v>0</v>
      </c>
      <c r="AR28" s="35">
        <f t="shared" si="15"/>
        <v>0</v>
      </c>
      <c r="AS28" s="35">
        <f t="shared" si="15"/>
        <v>0</v>
      </c>
      <c r="AT28" s="35">
        <f t="shared" si="15"/>
        <v>0</v>
      </c>
      <c r="AU28" s="35">
        <f t="shared" si="15"/>
        <v>0</v>
      </c>
      <c r="AV28" s="35">
        <f t="shared" si="15"/>
        <v>0</v>
      </c>
      <c r="AW28" s="35">
        <f t="shared" si="15"/>
        <v>0</v>
      </c>
      <c r="AX28" s="35">
        <f t="shared" si="15"/>
        <v>0</v>
      </c>
      <c r="AY28" s="35">
        <f t="shared" si="15"/>
        <v>0</v>
      </c>
      <c r="AZ28" s="36">
        <f t="shared" si="15"/>
        <v>0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</row>
    <row r="29" spans="1:69" x14ac:dyDescent="0.3">
      <c r="A29" s="33" t="s">
        <v>53</v>
      </c>
      <c r="B29" s="34">
        <v>4</v>
      </c>
      <c r="C29" s="34">
        <v>4</v>
      </c>
      <c r="D29" s="34">
        <v>4</v>
      </c>
      <c r="E29" s="34">
        <v>4</v>
      </c>
      <c r="F29" s="34">
        <v>4</v>
      </c>
      <c r="G29" s="34">
        <v>4</v>
      </c>
      <c r="H29" s="34">
        <v>4</v>
      </c>
      <c r="I29" s="34">
        <v>4</v>
      </c>
      <c r="J29" s="34">
        <v>4</v>
      </c>
      <c r="K29" s="34">
        <v>4</v>
      </c>
      <c r="L29" s="34">
        <v>4</v>
      </c>
      <c r="M29" s="34">
        <v>4</v>
      </c>
      <c r="N29" s="33" t="str">
        <f t="shared" si="16"/>
        <v xml:space="preserve">  - Coordenador</v>
      </c>
      <c r="O29" s="35">
        <v>4500</v>
      </c>
      <c r="P29" s="35">
        <v>4500</v>
      </c>
      <c r="Q29" s="35">
        <v>4500</v>
      </c>
      <c r="R29" s="35">
        <v>4500</v>
      </c>
      <c r="S29" s="35">
        <v>4500</v>
      </c>
      <c r="T29" s="35">
        <v>4500</v>
      </c>
      <c r="U29" s="35">
        <v>4500</v>
      </c>
      <c r="V29" s="35">
        <v>4500</v>
      </c>
      <c r="W29" s="35">
        <v>4500</v>
      </c>
      <c r="X29" s="35">
        <v>4500</v>
      </c>
      <c r="Y29" s="35">
        <v>4500</v>
      </c>
      <c r="Z29" s="35">
        <v>4500</v>
      </c>
      <c r="AA29" s="33" t="str">
        <f t="shared" si="17"/>
        <v xml:space="preserve">  - Coordenador</v>
      </c>
      <c r="AB29" s="35">
        <f t="shared" si="9"/>
        <v>18000</v>
      </c>
      <c r="AC29" s="35">
        <f t="shared" si="9"/>
        <v>18000</v>
      </c>
      <c r="AD29" s="35">
        <f t="shared" si="9"/>
        <v>18000</v>
      </c>
      <c r="AE29" s="35">
        <f t="shared" si="9"/>
        <v>18000</v>
      </c>
      <c r="AF29" s="35">
        <f t="shared" si="9"/>
        <v>18000</v>
      </c>
      <c r="AG29" s="35">
        <f t="shared" si="9"/>
        <v>18000</v>
      </c>
      <c r="AH29" s="35">
        <f t="shared" si="9"/>
        <v>18000</v>
      </c>
      <c r="AI29" s="35">
        <f t="shared" si="9"/>
        <v>18000</v>
      </c>
      <c r="AJ29" s="35">
        <f t="shared" si="9"/>
        <v>18000</v>
      </c>
      <c r="AK29" s="35">
        <f t="shared" si="9"/>
        <v>18000</v>
      </c>
      <c r="AL29" s="35">
        <f t="shared" si="9"/>
        <v>18000</v>
      </c>
      <c r="AM29" s="36">
        <f t="shared" si="9"/>
        <v>18000</v>
      </c>
      <c r="AN29" s="33" t="str">
        <f t="shared" si="18"/>
        <v xml:space="preserve">  - Coordenador</v>
      </c>
      <c r="AO29" s="37">
        <f t="shared" si="19"/>
        <v>-5120</v>
      </c>
      <c r="AP29" s="35">
        <f t="shared" si="15"/>
        <v>-5120</v>
      </c>
      <c r="AQ29" s="35">
        <f t="shared" si="15"/>
        <v>-5120</v>
      </c>
      <c r="AR29" s="35">
        <f t="shared" si="15"/>
        <v>-5120</v>
      </c>
      <c r="AS29" s="35">
        <f t="shared" si="15"/>
        <v>-5120</v>
      </c>
      <c r="AT29" s="35">
        <f t="shared" si="15"/>
        <v>-5120</v>
      </c>
      <c r="AU29" s="35">
        <f t="shared" si="15"/>
        <v>-5120</v>
      </c>
      <c r="AV29" s="35">
        <f t="shared" si="15"/>
        <v>-5120</v>
      </c>
      <c r="AW29" s="35">
        <f t="shared" si="15"/>
        <v>-5120</v>
      </c>
      <c r="AX29" s="35">
        <f t="shared" si="15"/>
        <v>-5120</v>
      </c>
      <c r="AY29" s="35">
        <f t="shared" si="15"/>
        <v>-5120</v>
      </c>
      <c r="AZ29" s="36">
        <f t="shared" si="15"/>
        <v>-5120</v>
      </c>
      <c r="BA29" s="21" t="s">
        <v>51</v>
      </c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</row>
    <row r="30" spans="1:69" x14ac:dyDescent="0.3">
      <c r="A30" s="33" t="s">
        <v>54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3" t="str">
        <f t="shared" si="16"/>
        <v xml:space="preserve">  - Administrativa</v>
      </c>
      <c r="O30" s="35">
        <v>2500</v>
      </c>
      <c r="P30" s="35">
        <v>2500</v>
      </c>
      <c r="Q30" s="35">
        <v>2500</v>
      </c>
      <c r="R30" s="35">
        <v>2500</v>
      </c>
      <c r="S30" s="35">
        <v>2500</v>
      </c>
      <c r="T30" s="35">
        <v>2500</v>
      </c>
      <c r="U30" s="35">
        <v>2500</v>
      </c>
      <c r="V30" s="35">
        <v>2500</v>
      </c>
      <c r="W30" s="35">
        <v>2500</v>
      </c>
      <c r="X30" s="35">
        <v>2500</v>
      </c>
      <c r="Y30" s="35">
        <v>2500</v>
      </c>
      <c r="Z30" s="35">
        <v>2500</v>
      </c>
      <c r="AA30" s="33" t="str">
        <f t="shared" si="17"/>
        <v xml:space="preserve">  - Administrativa</v>
      </c>
      <c r="AB30" s="35">
        <f t="shared" si="9"/>
        <v>2500</v>
      </c>
      <c r="AC30" s="35">
        <f t="shared" si="9"/>
        <v>2500</v>
      </c>
      <c r="AD30" s="35">
        <f t="shared" si="9"/>
        <v>2500</v>
      </c>
      <c r="AE30" s="35">
        <f t="shared" si="9"/>
        <v>2500</v>
      </c>
      <c r="AF30" s="35">
        <f t="shared" si="9"/>
        <v>2500</v>
      </c>
      <c r="AG30" s="35">
        <f t="shared" si="9"/>
        <v>2500</v>
      </c>
      <c r="AH30" s="35">
        <f t="shared" si="9"/>
        <v>2500</v>
      </c>
      <c r="AI30" s="35">
        <f t="shared" si="9"/>
        <v>2500</v>
      </c>
      <c r="AJ30" s="35">
        <f t="shared" si="9"/>
        <v>2500</v>
      </c>
      <c r="AK30" s="35">
        <f t="shared" si="9"/>
        <v>2500</v>
      </c>
      <c r="AL30" s="35">
        <f t="shared" si="9"/>
        <v>2500</v>
      </c>
      <c r="AM30" s="36">
        <f t="shared" si="9"/>
        <v>2500</v>
      </c>
      <c r="AN30" s="33" t="str">
        <f t="shared" si="18"/>
        <v xml:space="preserve">  - Administrativa</v>
      </c>
      <c r="AO30" s="37">
        <f>-(1200)*B30</f>
        <v>-1200</v>
      </c>
      <c r="AP30" s="35">
        <f t="shared" ref="AP30:AZ30" si="20">-(1200)*C30</f>
        <v>-1200</v>
      </c>
      <c r="AQ30" s="35">
        <f t="shared" si="20"/>
        <v>-1200</v>
      </c>
      <c r="AR30" s="35">
        <f t="shared" si="20"/>
        <v>-1200</v>
      </c>
      <c r="AS30" s="35">
        <f t="shared" si="20"/>
        <v>-1200</v>
      </c>
      <c r="AT30" s="35">
        <f t="shared" si="20"/>
        <v>-1200</v>
      </c>
      <c r="AU30" s="35">
        <f t="shared" si="20"/>
        <v>-1200</v>
      </c>
      <c r="AV30" s="35">
        <f t="shared" si="20"/>
        <v>-1200</v>
      </c>
      <c r="AW30" s="35">
        <f t="shared" si="20"/>
        <v>-1200</v>
      </c>
      <c r="AX30" s="35">
        <f t="shared" si="20"/>
        <v>-1200</v>
      </c>
      <c r="AY30" s="35">
        <f t="shared" si="20"/>
        <v>-1200</v>
      </c>
      <c r="AZ30" s="36">
        <f t="shared" si="20"/>
        <v>-1200</v>
      </c>
      <c r="BA30" s="21" t="s">
        <v>51</v>
      </c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</row>
    <row r="31" spans="1:69" x14ac:dyDescent="0.3">
      <c r="A31" s="33" t="s">
        <v>55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3" t="str">
        <f t="shared" si="16"/>
        <v xml:space="preserve">  - Chefe de Cozinha</v>
      </c>
      <c r="O31" s="35">
        <v>8060</v>
      </c>
      <c r="P31" s="35">
        <v>8060</v>
      </c>
      <c r="Q31" s="35">
        <v>8060</v>
      </c>
      <c r="R31" s="35">
        <v>8060</v>
      </c>
      <c r="S31" s="35">
        <v>8060</v>
      </c>
      <c r="T31" s="35">
        <v>8060</v>
      </c>
      <c r="U31" s="35">
        <v>8060</v>
      </c>
      <c r="V31" s="35">
        <v>8060</v>
      </c>
      <c r="W31" s="35">
        <v>8060</v>
      </c>
      <c r="X31" s="35">
        <v>8060</v>
      </c>
      <c r="Y31" s="35">
        <v>8060</v>
      </c>
      <c r="Z31" s="35">
        <v>8060</v>
      </c>
      <c r="AA31" s="33" t="str">
        <f t="shared" si="17"/>
        <v xml:space="preserve">  - Chefe de Cozinha</v>
      </c>
      <c r="AB31" s="35">
        <f t="shared" si="9"/>
        <v>8060</v>
      </c>
      <c r="AC31" s="35">
        <f t="shared" si="9"/>
        <v>8060</v>
      </c>
      <c r="AD31" s="35">
        <f t="shared" si="9"/>
        <v>8060</v>
      </c>
      <c r="AE31" s="35">
        <f t="shared" si="9"/>
        <v>8060</v>
      </c>
      <c r="AF31" s="35">
        <f t="shared" si="9"/>
        <v>8060</v>
      </c>
      <c r="AG31" s="35">
        <f t="shared" si="9"/>
        <v>8060</v>
      </c>
      <c r="AH31" s="35">
        <f t="shared" si="9"/>
        <v>8060</v>
      </c>
      <c r="AI31" s="35">
        <f t="shared" si="9"/>
        <v>8060</v>
      </c>
      <c r="AJ31" s="35">
        <f t="shared" si="9"/>
        <v>8060</v>
      </c>
      <c r="AK31" s="35">
        <f t="shared" si="9"/>
        <v>8060</v>
      </c>
      <c r="AL31" s="35">
        <f t="shared" si="9"/>
        <v>8060</v>
      </c>
      <c r="AM31" s="36">
        <f t="shared" si="9"/>
        <v>8060</v>
      </c>
      <c r="AN31" s="33" t="str">
        <f t="shared" si="18"/>
        <v xml:space="preserve">  - Chefe de Cozinha</v>
      </c>
      <c r="AO31" s="37">
        <f t="shared" si="19"/>
        <v>-1280</v>
      </c>
      <c r="AP31" s="35">
        <f t="shared" si="15"/>
        <v>-1280</v>
      </c>
      <c r="AQ31" s="35">
        <f t="shared" si="15"/>
        <v>-1280</v>
      </c>
      <c r="AR31" s="35">
        <f t="shared" si="15"/>
        <v>-1280</v>
      </c>
      <c r="AS31" s="35">
        <f t="shared" si="15"/>
        <v>-1280</v>
      </c>
      <c r="AT31" s="35">
        <f t="shared" si="15"/>
        <v>-1280</v>
      </c>
      <c r="AU31" s="35">
        <f t="shared" si="15"/>
        <v>-1280</v>
      </c>
      <c r="AV31" s="35">
        <f t="shared" si="15"/>
        <v>-1280</v>
      </c>
      <c r="AW31" s="35">
        <f t="shared" si="15"/>
        <v>-1280</v>
      </c>
      <c r="AX31" s="35">
        <f t="shared" si="15"/>
        <v>-1280</v>
      </c>
      <c r="AY31" s="35">
        <f t="shared" si="15"/>
        <v>-1280</v>
      </c>
      <c r="AZ31" s="36">
        <f t="shared" si="15"/>
        <v>-1280</v>
      </c>
      <c r="BA31" s="21" t="s">
        <v>51</v>
      </c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</row>
    <row r="32" spans="1:69" x14ac:dyDescent="0.3">
      <c r="A32" s="33" t="s">
        <v>56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3" t="str">
        <f t="shared" si="16"/>
        <v xml:space="preserve">  - Chefe de Bar</v>
      </c>
      <c r="O32" s="35">
        <v>4000</v>
      </c>
      <c r="P32" s="35">
        <v>4000</v>
      </c>
      <c r="Q32" s="35">
        <v>4000</v>
      </c>
      <c r="R32" s="35">
        <v>4000</v>
      </c>
      <c r="S32" s="35">
        <v>4000</v>
      </c>
      <c r="T32" s="35">
        <v>4000</v>
      </c>
      <c r="U32" s="35">
        <v>4000</v>
      </c>
      <c r="V32" s="35">
        <v>4000</v>
      </c>
      <c r="W32" s="35">
        <v>4000</v>
      </c>
      <c r="X32" s="35">
        <v>4000</v>
      </c>
      <c r="Y32" s="35">
        <v>4000</v>
      </c>
      <c r="Z32" s="35">
        <v>4000</v>
      </c>
      <c r="AA32" s="33" t="str">
        <f t="shared" si="17"/>
        <v xml:space="preserve">  - Chefe de Bar</v>
      </c>
      <c r="AB32" s="35">
        <f t="shared" si="9"/>
        <v>4000</v>
      </c>
      <c r="AC32" s="35">
        <f t="shared" si="9"/>
        <v>4000</v>
      </c>
      <c r="AD32" s="35">
        <f t="shared" si="9"/>
        <v>4000</v>
      </c>
      <c r="AE32" s="35">
        <f t="shared" si="9"/>
        <v>4000</v>
      </c>
      <c r="AF32" s="35">
        <f t="shared" si="9"/>
        <v>4000</v>
      </c>
      <c r="AG32" s="35">
        <f t="shared" si="9"/>
        <v>4000</v>
      </c>
      <c r="AH32" s="35">
        <f t="shared" si="9"/>
        <v>4000</v>
      </c>
      <c r="AI32" s="35">
        <f t="shared" si="9"/>
        <v>4000</v>
      </c>
      <c r="AJ32" s="35">
        <f t="shared" si="9"/>
        <v>4000</v>
      </c>
      <c r="AK32" s="35">
        <f t="shared" si="9"/>
        <v>4000</v>
      </c>
      <c r="AL32" s="35">
        <f t="shared" si="9"/>
        <v>4000</v>
      </c>
      <c r="AM32" s="36">
        <f t="shared" si="9"/>
        <v>4000</v>
      </c>
      <c r="AN32" s="33" t="str">
        <f t="shared" si="18"/>
        <v xml:space="preserve">  - Chefe de Bar</v>
      </c>
      <c r="AO32" s="37">
        <f t="shared" si="19"/>
        <v>-1280</v>
      </c>
      <c r="AP32" s="35">
        <f t="shared" si="15"/>
        <v>-1280</v>
      </c>
      <c r="AQ32" s="35">
        <f t="shared" si="15"/>
        <v>-1280</v>
      </c>
      <c r="AR32" s="35">
        <f t="shared" si="15"/>
        <v>-1280</v>
      </c>
      <c r="AS32" s="35">
        <f t="shared" si="15"/>
        <v>-1280</v>
      </c>
      <c r="AT32" s="35">
        <f t="shared" si="15"/>
        <v>-1280</v>
      </c>
      <c r="AU32" s="35">
        <f t="shared" si="15"/>
        <v>-1280</v>
      </c>
      <c r="AV32" s="35">
        <f t="shared" si="15"/>
        <v>-1280</v>
      </c>
      <c r="AW32" s="35">
        <f t="shared" si="15"/>
        <v>-1280</v>
      </c>
      <c r="AX32" s="35">
        <f t="shared" si="15"/>
        <v>-1280</v>
      </c>
      <c r="AY32" s="35">
        <f t="shared" si="15"/>
        <v>-1280</v>
      </c>
      <c r="AZ32" s="36">
        <f t="shared" si="15"/>
        <v>-1280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</row>
    <row r="33" spans="1:69" x14ac:dyDescent="0.3">
      <c r="A33" s="33" t="s">
        <v>57</v>
      </c>
      <c r="B33" s="34">
        <v>2</v>
      </c>
      <c r="C33" s="34">
        <v>2</v>
      </c>
      <c r="D33" s="34">
        <v>2</v>
      </c>
      <c r="E33" s="34">
        <v>2</v>
      </c>
      <c r="F33" s="34">
        <v>2</v>
      </c>
      <c r="G33" s="34">
        <v>2</v>
      </c>
      <c r="H33" s="34">
        <v>2</v>
      </c>
      <c r="I33" s="34">
        <v>2</v>
      </c>
      <c r="J33" s="34">
        <v>2</v>
      </c>
      <c r="K33" s="34">
        <v>2</v>
      </c>
      <c r="L33" s="34">
        <v>2</v>
      </c>
      <c r="M33" s="34">
        <v>2</v>
      </c>
      <c r="N33" s="33" t="str">
        <f t="shared" si="16"/>
        <v xml:space="preserve">  - Sub Chefe de Cozinha</v>
      </c>
      <c r="O33" s="35">
        <v>4000</v>
      </c>
      <c r="P33" s="35">
        <v>4000</v>
      </c>
      <c r="Q33" s="35">
        <v>4000</v>
      </c>
      <c r="R33" s="35">
        <v>4000</v>
      </c>
      <c r="S33" s="35">
        <v>4000</v>
      </c>
      <c r="T33" s="35">
        <v>4000</v>
      </c>
      <c r="U33" s="35">
        <v>4000</v>
      </c>
      <c r="V33" s="35">
        <v>4000</v>
      </c>
      <c r="W33" s="35">
        <v>4000</v>
      </c>
      <c r="X33" s="35">
        <v>4000</v>
      </c>
      <c r="Y33" s="35">
        <v>4000</v>
      </c>
      <c r="Z33" s="35">
        <v>4000</v>
      </c>
      <c r="AA33" s="33" t="str">
        <f t="shared" si="17"/>
        <v xml:space="preserve">  - Sub Chefe de Cozinha</v>
      </c>
      <c r="AB33" s="35">
        <f t="shared" si="9"/>
        <v>8000</v>
      </c>
      <c r="AC33" s="35">
        <f t="shared" si="9"/>
        <v>8000</v>
      </c>
      <c r="AD33" s="35">
        <f t="shared" si="9"/>
        <v>8000</v>
      </c>
      <c r="AE33" s="35">
        <f t="shared" si="9"/>
        <v>8000</v>
      </c>
      <c r="AF33" s="35">
        <f t="shared" si="9"/>
        <v>8000</v>
      </c>
      <c r="AG33" s="35">
        <f t="shared" si="9"/>
        <v>8000</v>
      </c>
      <c r="AH33" s="35">
        <f t="shared" si="9"/>
        <v>8000</v>
      </c>
      <c r="AI33" s="35">
        <f t="shared" si="9"/>
        <v>8000</v>
      </c>
      <c r="AJ33" s="35">
        <f t="shared" si="9"/>
        <v>8000</v>
      </c>
      <c r="AK33" s="35">
        <f t="shared" si="9"/>
        <v>8000</v>
      </c>
      <c r="AL33" s="35">
        <f t="shared" si="9"/>
        <v>8000</v>
      </c>
      <c r="AM33" s="36">
        <f t="shared" si="9"/>
        <v>8000</v>
      </c>
      <c r="AN33" s="33" t="str">
        <f t="shared" si="18"/>
        <v xml:space="preserve">  - Sub Chefe de Cozinha</v>
      </c>
      <c r="AO33" s="37">
        <f>-((65*2)*6)*B33</f>
        <v>-1560</v>
      </c>
      <c r="AP33" s="35">
        <f t="shared" ref="AP33:AZ33" si="21">-((65*2)*6)*C33</f>
        <v>-1560</v>
      </c>
      <c r="AQ33" s="35">
        <f t="shared" si="21"/>
        <v>-1560</v>
      </c>
      <c r="AR33" s="35">
        <f t="shared" si="21"/>
        <v>-1560</v>
      </c>
      <c r="AS33" s="35">
        <f t="shared" si="21"/>
        <v>-1560</v>
      </c>
      <c r="AT33" s="35">
        <f t="shared" si="21"/>
        <v>-1560</v>
      </c>
      <c r="AU33" s="35">
        <f t="shared" si="21"/>
        <v>-1560</v>
      </c>
      <c r="AV33" s="35">
        <f t="shared" si="21"/>
        <v>-1560</v>
      </c>
      <c r="AW33" s="35">
        <f t="shared" si="21"/>
        <v>-1560</v>
      </c>
      <c r="AX33" s="35">
        <f t="shared" si="21"/>
        <v>-1560</v>
      </c>
      <c r="AY33" s="35">
        <f t="shared" si="21"/>
        <v>-1560</v>
      </c>
      <c r="AZ33" s="36">
        <f t="shared" si="21"/>
        <v>-1560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</row>
    <row r="34" spans="1:69" x14ac:dyDescent="0.3">
      <c r="A34" s="33" t="s">
        <v>58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3" t="str">
        <f t="shared" si="16"/>
        <v xml:space="preserve">  - Sub Chefe De Bar</v>
      </c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3" t="str">
        <f t="shared" si="17"/>
        <v xml:space="preserve">  - Sub Chefe De Bar</v>
      </c>
      <c r="AB34" s="35">
        <f t="shared" si="9"/>
        <v>0</v>
      </c>
      <c r="AC34" s="35">
        <f t="shared" si="9"/>
        <v>0</v>
      </c>
      <c r="AD34" s="35">
        <f t="shared" si="9"/>
        <v>0</v>
      </c>
      <c r="AE34" s="35">
        <f t="shared" si="9"/>
        <v>0</v>
      </c>
      <c r="AF34" s="35">
        <f t="shared" si="9"/>
        <v>0</v>
      </c>
      <c r="AG34" s="35">
        <f t="shared" si="9"/>
        <v>0</v>
      </c>
      <c r="AH34" s="35">
        <f t="shared" si="9"/>
        <v>0</v>
      </c>
      <c r="AI34" s="35">
        <f t="shared" si="9"/>
        <v>0</v>
      </c>
      <c r="AJ34" s="35">
        <f t="shared" si="9"/>
        <v>0</v>
      </c>
      <c r="AK34" s="35">
        <f t="shared" si="9"/>
        <v>0</v>
      </c>
      <c r="AL34" s="35">
        <f t="shared" si="9"/>
        <v>0</v>
      </c>
      <c r="AM34" s="36">
        <f t="shared" si="9"/>
        <v>0</v>
      </c>
      <c r="AN34" s="33" t="str">
        <f t="shared" si="18"/>
        <v xml:space="preserve">  - Sub Chefe De Bar</v>
      </c>
      <c r="AO34" s="37">
        <f t="shared" si="19"/>
        <v>0</v>
      </c>
      <c r="AP34" s="35">
        <f t="shared" si="15"/>
        <v>0</v>
      </c>
      <c r="AQ34" s="35">
        <f t="shared" si="15"/>
        <v>0</v>
      </c>
      <c r="AR34" s="35">
        <f t="shared" si="15"/>
        <v>0</v>
      </c>
      <c r="AS34" s="35">
        <f t="shared" si="15"/>
        <v>0</v>
      </c>
      <c r="AT34" s="35">
        <f t="shared" si="15"/>
        <v>0</v>
      </c>
      <c r="AU34" s="35">
        <f t="shared" si="15"/>
        <v>0</v>
      </c>
      <c r="AV34" s="35">
        <f t="shared" si="15"/>
        <v>0</v>
      </c>
      <c r="AW34" s="35">
        <f t="shared" si="15"/>
        <v>0</v>
      </c>
      <c r="AX34" s="35">
        <f t="shared" si="15"/>
        <v>0</v>
      </c>
      <c r="AY34" s="35">
        <f t="shared" si="15"/>
        <v>0</v>
      </c>
      <c r="AZ34" s="36">
        <f t="shared" si="15"/>
        <v>0</v>
      </c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</row>
    <row r="35" spans="1:69" x14ac:dyDescent="0.3">
      <c r="A35" s="33" t="s">
        <v>59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3" t="str">
        <f t="shared" si="16"/>
        <v xml:space="preserve">  - Maitre</v>
      </c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3" t="str">
        <f t="shared" si="17"/>
        <v xml:space="preserve">  - Maitre</v>
      </c>
      <c r="AB35" s="35">
        <f t="shared" si="9"/>
        <v>0</v>
      </c>
      <c r="AC35" s="35">
        <f t="shared" si="9"/>
        <v>0</v>
      </c>
      <c r="AD35" s="35">
        <f t="shared" si="9"/>
        <v>0</v>
      </c>
      <c r="AE35" s="35">
        <f t="shared" si="9"/>
        <v>0</v>
      </c>
      <c r="AF35" s="35">
        <f t="shared" si="9"/>
        <v>0</v>
      </c>
      <c r="AG35" s="35">
        <f t="shared" si="9"/>
        <v>0</v>
      </c>
      <c r="AH35" s="35">
        <f t="shared" si="9"/>
        <v>0</v>
      </c>
      <c r="AI35" s="35">
        <f t="shared" si="9"/>
        <v>0</v>
      </c>
      <c r="AJ35" s="35">
        <f t="shared" si="9"/>
        <v>0</v>
      </c>
      <c r="AK35" s="35">
        <f t="shared" si="9"/>
        <v>0</v>
      </c>
      <c r="AL35" s="35">
        <f t="shared" si="9"/>
        <v>0</v>
      </c>
      <c r="AM35" s="36">
        <f t="shared" si="9"/>
        <v>0</v>
      </c>
      <c r="AN35" s="33" t="str">
        <f t="shared" si="18"/>
        <v xml:space="preserve">  - Maitre</v>
      </c>
      <c r="AO35" s="37">
        <f t="shared" si="19"/>
        <v>0</v>
      </c>
      <c r="AP35" s="35">
        <f t="shared" si="15"/>
        <v>0</v>
      </c>
      <c r="AQ35" s="35">
        <f t="shared" si="15"/>
        <v>0</v>
      </c>
      <c r="AR35" s="35">
        <f t="shared" si="15"/>
        <v>0</v>
      </c>
      <c r="AS35" s="35">
        <f t="shared" si="15"/>
        <v>0</v>
      </c>
      <c r="AT35" s="35">
        <f t="shared" si="15"/>
        <v>0</v>
      </c>
      <c r="AU35" s="35">
        <f t="shared" si="15"/>
        <v>0</v>
      </c>
      <c r="AV35" s="35">
        <f t="shared" si="15"/>
        <v>0</v>
      </c>
      <c r="AW35" s="35">
        <f t="shared" si="15"/>
        <v>0</v>
      </c>
      <c r="AX35" s="35">
        <f t="shared" si="15"/>
        <v>0</v>
      </c>
      <c r="AY35" s="35">
        <f t="shared" si="15"/>
        <v>0</v>
      </c>
      <c r="AZ35" s="36">
        <f t="shared" si="15"/>
        <v>0</v>
      </c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</row>
    <row r="36" spans="1:69" x14ac:dyDescent="0.3">
      <c r="A36" s="33" t="s">
        <v>60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3" t="str">
        <f>A36</f>
        <v xml:space="preserve">  - Chefe de Fila</v>
      </c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3" t="str">
        <f t="shared" si="17"/>
        <v xml:space="preserve">  - Chefe de Fila</v>
      </c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6"/>
      <c r="AN36" s="33" t="str">
        <f t="shared" si="18"/>
        <v xml:space="preserve">  - Chefe de Fila</v>
      </c>
      <c r="AO36" s="37">
        <f t="shared" si="19"/>
        <v>0</v>
      </c>
      <c r="AP36" s="35">
        <f t="shared" si="15"/>
        <v>0</v>
      </c>
      <c r="AQ36" s="35">
        <f t="shared" si="15"/>
        <v>0</v>
      </c>
      <c r="AR36" s="35">
        <f t="shared" si="15"/>
        <v>0</v>
      </c>
      <c r="AS36" s="35">
        <f t="shared" si="15"/>
        <v>0</v>
      </c>
      <c r="AT36" s="35">
        <f t="shared" si="15"/>
        <v>0</v>
      </c>
      <c r="AU36" s="35">
        <f t="shared" si="15"/>
        <v>0</v>
      </c>
      <c r="AV36" s="35">
        <f t="shared" si="15"/>
        <v>0</v>
      </c>
      <c r="AW36" s="35">
        <f t="shared" si="15"/>
        <v>0</v>
      </c>
      <c r="AX36" s="35">
        <f t="shared" si="15"/>
        <v>0</v>
      </c>
      <c r="AY36" s="35">
        <f t="shared" si="15"/>
        <v>0</v>
      </c>
      <c r="AZ36" s="36">
        <f t="shared" si="15"/>
        <v>0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</row>
    <row r="37" spans="1:69" x14ac:dyDescent="0.3">
      <c r="A37" s="33" t="s">
        <v>61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3" t="str">
        <f t="shared" si="16"/>
        <v xml:space="preserve">  - Hostess</v>
      </c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3" t="str">
        <f t="shared" si="17"/>
        <v xml:space="preserve">  - Hostess</v>
      </c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6"/>
      <c r="AN37" s="33" t="str">
        <f t="shared" si="18"/>
        <v xml:space="preserve">  - Hostess</v>
      </c>
      <c r="AO37" s="37">
        <f t="shared" si="19"/>
        <v>0</v>
      </c>
      <c r="AP37" s="35">
        <f t="shared" si="15"/>
        <v>0</v>
      </c>
      <c r="AQ37" s="35">
        <f t="shared" si="15"/>
        <v>0</v>
      </c>
      <c r="AR37" s="35">
        <f t="shared" si="15"/>
        <v>0</v>
      </c>
      <c r="AS37" s="35">
        <f t="shared" si="15"/>
        <v>0</v>
      </c>
      <c r="AT37" s="35">
        <f t="shared" si="15"/>
        <v>0</v>
      </c>
      <c r="AU37" s="35">
        <f t="shared" si="15"/>
        <v>0</v>
      </c>
      <c r="AV37" s="35">
        <f t="shared" si="15"/>
        <v>0</v>
      </c>
      <c r="AW37" s="35">
        <f t="shared" si="15"/>
        <v>0</v>
      </c>
      <c r="AX37" s="35">
        <f t="shared" si="15"/>
        <v>0</v>
      </c>
      <c r="AY37" s="35">
        <f t="shared" si="15"/>
        <v>0</v>
      </c>
      <c r="AZ37" s="36">
        <f t="shared" si="15"/>
        <v>0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</row>
    <row r="38" spans="1:69" ht="15" thickBot="1" x14ac:dyDescent="0.35">
      <c r="A38" s="42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2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2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5"/>
      <c r="AN38" s="42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5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</row>
    <row r="39" spans="1:69" ht="31.2" customHeight="1" thickBot="1" x14ac:dyDescent="0.35">
      <c r="A39" s="12" t="s">
        <v>62</v>
      </c>
      <c r="B39" s="13">
        <f>SUM(B40:B96)</f>
        <v>59</v>
      </c>
      <c r="C39" s="13">
        <f t="shared" ref="C39:M39" si="22">SUM(C40:C96)</f>
        <v>60</v>
      </c>
      <c r="D39" s="13">
        <f t="shared" si="22"/>
        <v>60</v>
      </c>
      <c r="E39" s="13">
        <f t="shared" si="22"/>
        <v>60</v>
      </c>
      <c r="F39" s="13">
        <f t="shared" si="22"/>
        <v>60</v>
      </c>
      <c r="G39" s="13">
        <f t="shared" si="22"/>
        <v>60</v>
      </c>
      <c r="H39" s="13">
        <f t="shared" si="22"/>
        <v>60</v>
      </c>
      <c r="I39" s="13">
        <f t="shared" si="22"/>
        <v>60</v>
      </c>
      <c r="J39" s="13">
        <f t="shared" si="22"/>
        <v>60</v>
      </c>
      <c r="K39" s="13">
        <f t="shared" si="22"/>
        <v>60</v>
      </c>
      <c r="L39" s="13">
        <f t="shared" si="22"/>
        <v>60</v>
      </c>
      <c r="M39" s="14">
        <f t="shared" si="22"/>
        <v>60</v>
      </c>
      <c r="N39" s="12" t="s">
        <v>62</v>
      </c>
      <c r="O39" s="46" t="s">
        <v>63</v>
      </c>
      <c r="P39" s="47" t="s">
        <v>64</v>
      </c>
      <c r="Q39" s="15"/>
      <c r="R39" s="15"/>
      <c r="S39" s="48">
        <v>4.2000000000000003E-2</v>
      </c>
      <c r="T39" s="15"/>
      <c r="U39" s="15"/>
      <c r="V39" s="15"/>
      <c r="W39" s="15"/>
      <c r="X39" s="15"/>
      <c r="Y39" s="15"/>
      <c r="Z39" s="49"/>
      <c r="AA39" s="12" t="s">
        <v>62</v>
      </c>
      <c r="AB39" s="13">
        <f>SUM(AB40:AB96)</f>
        <v>106900</v>
      </c>
      <c r="AC39" s="13">
        <f t="shared" ref="AC39:AM39" si="23">SUM(AC40:AC96)</f>
        <v>123469.74999999999</v>
      </c>
      <c r="AD39" s="13">
        <f t="shared" si="23"/>
        <v>123469.74999999999</v>
      </c>
      <c r="AE39" s="13">
        <f t="shared" si="23"/>
        <v>123469.74999999999</v>
      </c>
      <c r="AF39" s="13">
        <f t="shared" si="23"/>
        <v>128655.47949999999</v>
      </c>
      <c r="AG39" s="13">
        <f t="shared" si="23"/>
        <v>128655.47949999999</v>
      </c>
      <c r="AH39" s="13">
        <f t="shared" si="23"/>
        <v>128655.47949999999</v>
      </c>
      <c r="AI39" s="13">
        <f t="shared" si="23"/>
        <v>128655.47949999999</v>
      </c>
      <c r="AJ39" s="13">
        <f t="shared" si="23"/>
        <v>128655.47949999999</v>
      </c>
      <c r="AK39" s="13">
        <f t="shared" si="23"/>
        <v>128655.47949999999</v>
      </c>
      <c r="AL39" s="13">
        <f t="shared" si="23"/>
        <v>128655.47949999999</v>
      </c>
      <c r="AM39" s="17">
        <f t="shared" si="23"/>
        <v>128655.47949999999</v>
      </c>
      <c r="AN39" s="50" t="s">
        <v>62</v>
      </c>
      <c r="AO39" s="51">
        <f>SUM(AO40:AO96)</f>
        <v>-33748</v>
      </c>
      <c r="AP39" s="13">
        <f t="shared" ref="AP39:AZ39" si="24">SUM(AP40:AP96)</f>
        <v>-34320</v>
      </c>
      <c r="AQ39" s="13">
        <f t="shared" si="24"/>
        <v>-34320</v>
      </c>
      <c r="AR39" s="13">
        <f t="shared" si="24"/>
        <v>-34320</v>
      </c>
      <c r="AS39" s="13">
        <f t="shared" si="24"/>
        <v>-34320</v>
      </c>
      <c r="AT39" s="13">
        <f t="shared" si="24"/>
        <v>-34320</v>
      </c>
      <c r="AU39" s="13">
        <f t="shared" si="24"/>
        <v>-34320</v>
      </c>
      <c r="AV39" s="13">
        <f t="shared" si="24"/>
        <v>-34320</v>
      </c>
      <c r="AW39" s="13">
        <f t="shared" si="24"/>
        <v>-34320</v>
      </c>
      <c r="AX39" s="13">
        <f t="shared" si="24"/>
        <v>-34320</v>
      </c>
      <c r="AY39" s="13">
        <f t="shared" si="24"/>
        <v>-34320</v>
      </c>
      <c r="AZ39" s="17">
        <f t="shared" si="24"/>
        <v>-34320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</row>
    <row r="40" spans="1:69" x14ac:dyDescent="0.3">
      <c r="A40" s="52" t="s">
        <v>65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2" t="str">
        <f>A40</f>
        <v xml:space="preserve">  -  Maitre</v>
      </c>
      <c r="O40" s="54"/>
      <c r="P40" s="55">
        <v>4231.3</v>
      </c>
      <c r="Q40" s="55">
        <v>4231.3</v>
      </c>
      <c r="R40" s="55">
        <v>4231.3</v>
      </c>
      <c r="S40" s="55">
        <f>$R40+($R40*$S$39)</f>
        <v>4409.0146000000004</v>
      </c>
      <c r="T40" s="55">
        <f t="shared" ref="T40:Z55" si="25">$R40+($R40*$S$39)</f>
        <v>4409.0146000000004</v>
      </c>
      <c r="U40" s="55">
        <f t="shared" si="25"/>
        <v>4409.0146000000004</v>
      </c>
      <c r="V40" s="55">
        <f t="shared" si="25"/>
        <v>4409.0146000000004</v>
      </c>
      <c r="W40" s="55">
        <f t="shared" si="25"/>
        <v>4409.0146000000004</v>
      </c>
      <c r="X40" s="55">
        <f t="shared" si="25"/>
        <v>4409.0146000000004</v>
      </c>
      <c r="Y40" s="55">
        <f t="shared" si="25"/>
        <v>4409.0146000000004</v>
      </c>
      <c r="Z40" s="55">
        <f t="shared" si="25"/>
        <v>4409.0146000000004</v>
      </c>
      <c r="AA40" s="52" t="str">
        <f>N40</f>
        <v xml:space="preserve">  -  Maitre</v>
      </c>
      <c r="AB40" s="55">
        <f t="shared" ref="AB40:AM61" si="26">O40*B40</f>
        <v>0</v>
      </c>
      <c r="AC40" s="55">
        <f t="shared" si="26"/>
        <v>0</v>
      </c>
      <c r="AD40" s="55">
        <f t="shared" si="26"/>
        <v>0</v>
      </c>
      <c r="AE40" s="55">
        <f t="shared" si="26"/>
        <v>0</v>
      </c>
      <c r="AF40" s="55">
        <f t="shared" si="26"/>
        <v>0</v>
      </c>
      <c r="AG40" s="55">
        <f t="shared" si="26"/>
        <v>0</v>
      </c>
      <c r="AH40" s="55">
        <f t="shared" si="26"/>
        <v>0</v>
      </c>
      <c r="AI40" s="55">
        <f t="shared" si="26"/>
        <v>0</v>
      </c>
      <c r="AJ40" s="55">
        <f t="shared" si="26"/>
        <v>0</v>
      </c>
      <c r="AK40" s="55">
        <f t="shared" si="26"/>
        <v>0</v>
      </c>
      <c r="AL40" s="55">
        <f t="shared" si="26"/>
        <v>0</v>
      </c>
      <c r="AM40" s="56">
        <f t="shared" si="26"/>
        <v>0</v>
      </c>
      <c r="AN40" s="52" t="str">
        <f>AA40</f>
        <v xml:space="preserve">  -  Maitre</v>
      </c>
      <c r="AO40" s="54">
        <f>-(B40*26)*22</f>
        <v>0</v>
      </c>
      <c r="AP40" s="55">
        <f t="shared" ref="AP40:AZ55" si="27">-(C40*26)*22</f>
        <v>0</v>
      </c>
      <c r="AQ40" s="55">
        <f t="shared" si="27"/>
        <v>0</v>
      </c>
      <c r="AR40" s="55">
        <f t="shared" si="27"/>
        <v>0</v>
      </c>
      <c r="AS40" s="55">
        <f t="shared" si="27"/>
        <v>0</v>
      </c>
      <c r="AT40" s="55">
        <f t="shared" si="27"/>
        <v>0</v>
      </c>
      <c r="AU40" s="55">
        <f t="shared" si="27"/>
        <v>0</v>
      </c>
      <c r="AV40" s="55">
        <f t="shared" si="27"/>
        <v>0</v>
      </c>
      <c r="AW40" s="55">
        <f t="shared" si="27"/>
        <v>0</v>
      </c>
      <c r="AX40" s="55">
        <f t="shared" si="27"/>
        <v>0</v>
      </c>
      <c r="AY40" s="55">
        <f t="shared" si="27"/>
        <v>0</v>
      </c>
      <c r="AZ40" s="56">
        <f t="shared" si="27"/>
        <v>0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</row>
    <row r="41" spans="1:69" x14ac:dyDescent="0.3">
      <c r="A41" s="33" t="s">
        <v>66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52" t="str">
        <f t="shared" ref="N41:N96" si="28">A41</f>
        <v xml:space="preserve">  -  Garçon III</v>
      </c>
      <c r="O41" s="37">
        <v>2000</v>
      </c>
      <c r="P41" s="35">
        <v>2569</v>
      </c>
      <c r="Q41" s="35">
        <v>2569</v>
      </c>
      <c r="R41" s="35">
        <v>2569</v>
      </c>
      <c r="S41" s="55">
        <f t="shared" ref="S41:Z56" si="29">$R41+($R41*$S$39)</f>
        <v>2676.8980000000001</v>
      </c>
      <c r="T41" s="55">
        <f t="shared" si="25"/>
        <v>2676.8980000000001</v>
      </c>
      <c r="U41" s="55">
        <f t="shared" si="25"/>
        <v>2676.8980000000001</v>
      </c>
      <c r="V41" s="55">
        <f t="shared" si="25"/>
        <v>2676.8980000000001</v>
      </c>
      <c r="W41" s="55">
        <f t="shared" si="25"/>
        <v>2676.8980000000001</v>
      </c>
      <c r="X41" s="55">
        <f t="shared" si="25"/>
        <v>2676.8980000000001</v>
      </c>
      <c r="Y41" s="55">
        <f t="shared" si="25"/>
        <v>2676.8980000000001</v>
      </c>
      <c r="Z41" s="55">
        <f t="shared" si="25"/>
        <v>2676.8980000000001</v>
      </c>
      <c r="AA41" s="52" t="str">
        <f t="shared" ref="AA41:AA96" si="30">N41</f>
        <v xml:space="preserve">  -  Garçon III</v>
      </c>
      <c r="AB41" s="35">
        <f t="shared" si="26"/>
        <v>0</v>
      </c>
      <c r="AC41" s="35">
        <f t="shared" si="26"/>
        <v>0</v>
      </c>
      <c r="AD41" s="35">
        <f t="shared" si="26"/>
        <v>0</v>
      </c>
      <c r="AE41" s="35">
        <f t="shared" si="26"/>
        <v>0</v>
      </c>
      <c r="AF41" s="35">
        <f t="shared" si="26"/>
        <v>0</v>
      </c>
      <c r="AG41" s="35">
        <f t="shared" si="26"/>
        <v>0</v>
      </c>
      <c r="AH41" s="35">
        <f t="shared" si="26"/>
        <v>0</v>
      </c>
      <c r="AI41" s="35">
        <f t="shared" si="26"/>
        <v>0</v>
      </c>
      <c r="AJ41" s="35">
        <f t="shared" si="26"/>
        <v>0</v>
      </c>
      <c r="AK41" s="35">
        <f t="shared" si="26"/>
        <v>0</v>
      </c>
      <c r="AL41" s="35">
        <f t="shared" si="26"/>
        <v>0</v>
      </c>
      <c r="AM41" s="36">
        <f t="shared" si="26"/>
        <v>0</v>
      </c>
      <c r="AN41" s="33" t="str">
        <f t="shared" ref="AN41:AN96" si="31">AA41</f>
        <v xml:space="preserve">  -  Garçon III</v>
      </c>
      <c r="AO41" s="37">
        <f t="shared" ref="AO41:AZ96" si="32">-(B41*26)*22</f>
        <v>0</v>
      </c>
      <c r="AP41" s="35">
        <f t="shared" si="27"/>
        <v>0</v>
      </c>
      <c r="AQ41" s="35">
        <f t="shared" si="27"/>
        <v>0</v>
      </c>
      <c r="AR41" s="35">
        <f t="shared" si="27"/>
        <v>0</v>
      </c>
      <c r="AS41" s="35">
        <f t="shared" si="27"/>
        <v>0</v>
      </c>
      <c r="AT41" s="35">
        <f t="shared" si="27"/>
        <v>0</v>
      </c>
      <c r="AU41" s="35">
        <f t="shared" si="27"/>
        <v>0</v>
      </c>
      <c r="AV41" s="35">
        <f t="shared" si="27"/>
        <v>0</v>
      </c>
      <c r="AW41" s="35">
        <f t="shared" si="27"/>
        <v>0</v>
      </c>
      <c r="AX41" s="35">
        <f t="shared" si="27"/>
        <v>0</v>
      </c>
      <c r="AY41" s="35">
        <f t="shared" si="27"/>
        <v>0</v>
      </c>
      <c r="AZ41" s="36">
        <f t="shared" si="27"/>
        <v>0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</row>
    <row r="42" spans="1:69" x14ac:dyDescent="0.3">
      <c r="A42" s="33" t="s">
        <v>67</v>
      </c>
      <c r="B42" s="34">
        <v>15</v>
      </c>
      <c r="C42" s="34">
        <v>15</v>
      </c>
      <c r="D42" s="34">
        <v>15</v>
      </c>
      <c r="E42" s="34">
        <v>15</v>
      </c>
      <c r="F42" s="34">
        <v>15</v>
      </c>
      <c r="G42" s="34">
        <v>15</v>
      </c>
      <c r="H42" s="34">
        <v>15</v>
      </c>
      <c r="I42" s="34">
        <v>15</v>
      </c>
      <c r="J42" s="34">
        <v>15</v>
      </c>
      <c r="K42" s="34">
        <v>15</v>
      </c>
      <c r="L42" s="34">
        <v>15</v>
      </c>
      <c r="M42" s="34">
        <v>15</v>
      </c>
      <c r="N42" s="52" t="str">
        <f t="shared" si="28"/>
        <v xml:space="preserve">  -  Garçon II</v>
      </c>
      <c r="O42" s="37">
        <v>2000</v>
      </c>
      <c r="P42" s="35">
        <v>2103.6</v>
      </c>
      <c r="Q42" s="35">
        <v>2103.6</v>
      </c>
      <c r="R42" s="35">
        <v>2103.6</v>
      </c>
      <c r="S42" s="55">
        <f t="shared" si="29"/>
        <v>2191.9512</v>
      </c>
      <c r="T42" s="55">
        <f t="shared" si="25"/>
        <v>2191.9512</v>
      </c>
      <c r="U42" s="55">
        <f t="shared" si="25"/>
        <v>2191.9512</v>
      </c>
      <c r="V42" s="55">
        <f t="shared" si="25"/>
        <v>2191.9512</v>
      </c>
      <c r="W42" s="55">
        <f t="shared" si="25"/>
        <v>2191.9512</v>
      </c>
      <c r="X42" s="55">
        <f t="shared" si="25"/>
        <v>2191.9512</v>
      </c>
      <c r="Y42" s="55">
        <f t="shared" si="25"/>
        <v>2191.9512</v>
      </c>
      <c r="Z42" s="55">
        <f t="shared" si="25"/>
        <v>2191.9512</v>
      </c>
      <c r="AA42" s="52" t="str">
        <f t="shared" si="30"/>
        <v xml:space="preserve">  -  Garçon II</v>
      </c>
      <c r="AB42" s="35">
        <f t="shared" si="26"/>
        <v>30000</v>
      </c>
      <c r="AC42" s="35">
        <f t="shared" si="26"/>
        <v>31554</v>
      </c>
      <c r="AD42" s="35">
        <f t="shared" si="26"/>
        <v>31554</v>
      </c>
      <c r="AE42" s="35">
        <f t="shared" si="26"/>
        <v>31554</v>
      </c>
      <c r="AF42" s="35">
        <f t="shared" si="26"/>
        <v>32879.267999999996</v>
      </c>
      <c r="AG42" s="35">
        <f t="shared" si="26"/>
        <v>32879.267999999996</v>
      </c>
      <c r="AH42" s="35">
        <f t="shared" si="26"/>
        <v>32879.267999999996</v>
      </c>
      <c r="AI42" s="35">
        <f t="shared" si="26"/>
        <v>32879.267999999996</v>
      </c>
      <c r="AJ42" s="35">
        <f t="shared" si="26"/>
        <v>32879.267999999996</v>
      </c>
      <c r="AK42" s="35">
        <f t="shared" si="26"/>
        <v>32879.267999999996</v>
      </c>
      <c r="AL42" s="35">
        <f t="shared" si="26"/>
        <v>32879.267999999996</v>
      </c>
      <c r="AM42" s="36">
        <f t="shared" si="26"/>
        <v>32879.267999999996</v>
      </c>
      <c r="AN42" s="33" t="str">
        <f t="shared" si="31"/>
        <v xml:space="preserve">  -  Garçon II</v>
      </c>
      <c r="AO42" s="37">
        <f t="shared" si="32"/>
        <v>-8580</v>
      </c>
      <c r="AP42" s="35">
        <f t="shared" si="27"/>
        <v>-8580</v>
      </c>
      <c r="AQ42" s="35">
        <f t="shared" si="27"/>
        <v>-8580</v>
      </c>
      <c r="AR42" s="35">
        <f t="shared" si="27"/>
        <v>-8580</v>
      </c>
      <c r="AS42" s="35">
        <f t="shared" si="27"/>
        <v>-8580</v>
      </c>
      <c r="AT42" s="35">
        <f t="shared" si="27"/>
        <v>-8580</v>
      </c>
      <c r="AU42" s="35">
        <f t="shared" si="27"/>
        <v>-8580</v>
      </c>
      <c r="AV42" s="35">
        <f t="shared" si="27"/>
        <v>-8580</v>
      </c>
      <c r="AW42" s="35">
        <f t="shared" si="27"/>
        <v>-8580</v>
      </c>
      <c r="AX42" s="35">
        <f t="shared" si="27"/>
        <v>-8580</v>
      </c>
      <c r="AY42" s="35">
        <f t="shared" si="27"/>
        <v>-8580</v>
      </c>
      <c r="AZ42" s="36">
        <f t="shared" si="27"/>
        <v>-8580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</row>
    <row r="43" spans="1:69" x14ac:dyDescent="0.3">
      <c r="A43" s="33" t="s">
        <v>68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52" t="str">
        <f t="shared" si="28"/>
        <v xml:space="preserve">  -  Garçon I</v>
      </c>
      <c r="O43" s="37">
        <v>2000</v>
      </c>
      <c r="P43" s="35">
        <v>1869.4</v>
      </c>
      <c r="Q43" s="35">
        <v>1869.4</v>
      </c>
      <c r="R43" s="35">
        <v>1869.4</v>
      </c>
      <c r="S43" s="55">
        <f t="shared" si="29"/>
        <v>1947.9148</v>
      </c>
      <c r="T43" s="55">
        <f t="shared" si="25"/>
        <v>1947.9148</v>
      </c>
      <c r="U43" s="55">
        <f t="shared" si="25"/>
        <v>1947.9148</v>
      </c>
      <c r="V43" s="55">
        <f t="shared" si="25"/>
        <v>1947.9148</v>
      </c>
      <c r="W43" s="55">
        <f t="shared" si="25"/>
        <v>1947.9148</v>
      </c>
      <c r="X43" s="55">
        <f t="shared" si="25"/>
        <v>1947.9148</v>
      </c>
      <c r="Y43" s="55">
        <f t="shared" si="25"/>
        <v>1947.9148</v>
      </c>
      <c r="Z43" s="55">
        <f t="shared" si="25"/>
        <v>1947.9148</v>
      </c>
      <c r="AA43" s="52" t="str">
        <f t="shared" si="30"/>
        <v xml:space="preserve">  -  Garçon I</v>
      </c>
      <c r="AB43" s="35">
        <f t="shared" si="26"/>
        <v>0</v>
      </c>
      <c r="AC43" s="35">
        <f t="shared" si="26"/>
        <v>0</v>
      </c>
      <c r="AD43" s="35">
        <f t="shared" si="26"/>
        <v>0</v>
      </c>
      <c r="AE43" s="35">
        <f t="shared" si="26"/>
        <v>0</v>
      </c>
      <c r="AF43" s="35">
        <f t="shared" si="26"/>
        <v>0</v>
      </c>
      <c r="AG43" s="35">
        <f t="shared" si="26"/>
        <v>0</v>
      </c>
      <c r="AH43" s="35">
        <f t="shared" si="26"/>
        <v>0</v>
      </c>
      <c r="AI43" s="35">
        <f t="shared" si="26"/>
        <v>0</v>
      </c>
      <c r="AJ43" s="35">
        <f t="shared" si="26"/>
        <v>0</v>
      </c>
      <c r="AK43" s="35">
        <f t="shared" si="26"/>
        <v>0</v>
      </c>
      <c r="AL43" s="35">
        <f t="shared" si="26"/>
        <v>0</v>
      </c>
      <c r="AM43" s="36">
        <f t="shared" si="26"/>
        <v>0</v>
      </c>
      <c r="AN43" s="33" t="str">
        <f t="shared" si="31"/>
        <v xml:space="preserve">  -  Garçon I</v>
      </c>
      <c r="AO43" s="37">
        <f t="shared" si="32"/>
        <v>0</v>
      </c>
      <c r="AP43" s="35">
        <f t="shared" si="27"/>
        <v>0</v>
      </c>
      <c r="AQ43" s="35">
        <f t="shared" si="27"/>
        <v>0</v>
      </c>
      <c r="AR43" s="35">
        <f t="shared" si="27"/>
        <v>0</v>
      </c>
      <c r="AS43" s="35">
        <f t="shared" si="27"/>
        <v>0</v>
      </c>
      <c r="AT43" s="35">
        <f t="shared" si="27"/>
        <v>0</v>
      </c>
      <c r="AU43" s="35">
        <f t="shared" si="27"/>
        <v>0</v>
      </c>
      <c r="AV43" s="35">
        <f t="shared" si="27"/>
        <v>0</v>
      </c>
      <c r="AW43" s="35">
        <f t="shared" si="27"/>
        <v>0</v>
      </c>
      <c r="AX43" s="35">
        <f t="shared" si="27"/>
        <v>0</v>
      </c>
      <c r="AY43" s="35">
        <f t="shared" si="27"/>
        <v>0</v>
      </c>
      <c r="AZ43" s="36">
        <f t="shared" si="27"/>
        <v>0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</row>
    <row r="44" spans="1:69" x14ac:dyDescent="0.3">
      <c r="A44" s="33" t="s">
        <v>69</v>
      </c>
      <c r="B44" s="34">
        <v>6</v>
      </c>
      <c r="C44" s="34">
        <v>6</v>
      </c>
      <c r="D44" s="34">
        <v>6</v>
      </c>
      <c r="E44" s="34">
        <v>6</v>
      </c>
      <c r="F44" s="34">
        <v>6</v>
      </c>
      <c r="G44" s="34">
        <v>6</v>
      </c>
      <c r="H44" s="34">
        <v>6</v>
      </c>
      <c r="I44" s="34">
        <v>6</v>
      </c>
      <c r="J44" s="34">
        <v>6</v>
      </c>
      <c r="K44" s="34">
        <v>6</v>
      </c>
      <c r="L44" s="34">
        <v>6</v>
      </c>
      <c r="M44" s="34">
        <v>6</v>
      </c>
      <c r="N44" s="52" t="str">
        <f t="shared" si="28"/>
        <v xml:space="preserve">  -  Passador de Chopp</v>
      </c>
      <c r="O44" s="37">
        <v>1700</v>
      </c>
      <c r="P44" s="35">
        <v>1869.4</v>
      </c>
      <c r="Q44" s="35">
        <v>1869.4</v>
      </c>
      <c r="R44" s="35">
        <v>1869.4</v>
      </c>
      <c r="S44" s="55">
        <f t="shared" si="29"/>
        <v>1947.9148</v>
      </c>
      <c r="T44" s="55">
        <f t="shared" si="25"/>
        <v>1947.9148</v>
      </c>
      <c r="U44" s="55">
        <f t="shared" si="25"/>
        <v>1947.9148</v>
      </c>
      <c r="V44" s="55">
        <f t="shared" si="25"/>
        <v>1947.9148</v>
      </c>
      <c r="W44" s="55">
        <f t="shared" si="25"/>
        <v>1947.9148</v>
      </c>
      <c r="X44" s="55">
        <f t="shared" si="25"/>
        <v>1947.9148</v>
      </c>
      <c r="Y44" s="55">
        <f t="shared" si="25"/>
        <v>1947.9148</v>
      </c>
      <c r="Z44" s="55">
        <f t="shared" si="25"/>
        <v>1947.9148</v>
      </c>
      <c r="AA44" s="52" t="str">
        <f t="shared" si="30"/>
        <v xml:space="preserve">  -  Passador de Chopp</v>
      </c>
      <c r="AB44" s="35">
        <f t="shared" si="26"/>
        <v>10200</v>
      </c>
      <c r="AC44" s="35">
        <f t="shared" si="26"/>
        <v>11216.400000000001</v>
      </c>
      <c r="AD44" s="35">
        <f t="shared" si="26"/>
        <v>11216.400000000001</v>
      </c>
      <c r="AE44" s="35">
        <f t="shared" si="26"/>
        <v>11216.400000000001</v>
      </c>
      <c r="AF44" s="35">
        <f t="shared" si="26"/>
        <v>11687.488799999999</v>
      </c>
      <c r="AG44" s="35">
        <f t="shared" si="26"/>
        <v>11687.488799999999</v>
      </c>
      <c r="AH44" s="35">
        <f t="shared" si="26"/>
        <v>11687.488799999999</v>
      </c>
      <c r="AI44" s="35">
        <f t="shared" si="26"/>
        <v>11687.488799999999</v>
      </c>
      <c r="AJ44" s="35">
        <f t="shared" si="26"/>
        <v>11687.488799999999</v>
      </c>
      <c r="AK44" s="35">
        <f t="shared" si="26"/>
        <v>11687.488799999999</v>
      </c>
      <c r="AL44" s="35">
        <f t="shared" si="26"/>
        <v>11687.488799999999</v>
      </c>
      <c r="AM44" s="36">
        <f t="shared" si="26"/>
        <v>11687.488799999999</v>
      </c>
      <c r="AN44" s="33" t="str">
        <f t="shared" si="31"/>
        <v xml:space="preserve">  -  Passador de Chopp</v>
      </c>
      <c r="AO44" s="37">
        <f t="shared" si="32"/>
        <v>-3432</v>
      </c>
      <c r="AP44" s="35">
        <f t="shared" si="27"/>
        <v>-3432</v>
      </c>
      <c r="AQ44" s="35">
        <f t="shared" si="27"/>
        <v>-3432</v>
      </c>
      <c r="AR44" s="35">
        <f t="shared" si="27"/>
        <v>-3432</v>
      </c>
      <c r="AS44" s="35">
        <f t="shared" si="27"/>
        <v>-3432</v>
      </c>
      <c r="AT44" s="35">
        <f t="shared" si="27"/>
        <v>-3432</v>
      </c>
      <c r="AU44" s="35">
        <f t="shared" si="27"/>
        <v>-3432</v>
      </c>
      <c r="AV44" s="35">
        <f t="shared" si="27"/>
        <v>-3432</v>
      </c>
      <c r="AW44" s="35">
        <f t="shared" si="27"/>
        <v>-3432</v>
      </c>
      <c r="AX44" s="35">
        <f t="shared" si="27"/>
        <v>-3432</v>
      </c>
      <c r="AY44" s="35">
        <f t="shared" si="27"/>
        <v>-3432</v>
      </c>
      <c r="AZ44" s="36">
        <f t="shared" si="27"/>
        <v>-3432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</row>
    <row r="45" spans="1:69" x14ac:dyDescent="0.3">
      <c r="A45" s="33" t="s">
        <v>70</v>
      </c>
      <c r="B45" s="34">
        <v>2</v>
      </c>
      <c r="C45" s="34">
        <v>3</v>
      </c>
      <c r="D45" s="34">
        <v>3</v>
      </c>
      <c r="E45" s="34">
        <v>3</v>
      </c>
      <c r="F45" s="34">
        <v>3</v>
      </c>
      <c r="G45" s="34">
        <v>3</v>
      </c>
      <c r="H45" s="34">
        <v>3</v>
      </c>
      <c r="I45" s="34">
        <v>3</v>
      </c>
      <c r="J45" s="34">
        <v>3</v>
      </c>
      <c r="K45" s="34">
        <v>3</v>
      </c>
      <c r="L45" s="34">
        <v>3</v>
      </c>
      <c r="M45" s="34">
        <v>3</v>
      </c>
      <c r="N45" s="52" t="str">
        <f t="shared" si="28"/>
        <v xml:space="preserve">  -  Cumin</v>
      </c>
      <c r="O45" s="37">
        <f>(2000+1500)/2</f>
        <v>1750</v>
      </c>
      <c r="P45" s="35">
        <v>1869.4</v>
      </c>
      <c r="Q45" s="35">
        <v>1869.4</v>
      </c>
      <c r="R45" s="35">
        <v>1869.4</v>
      </c>
      <c r="S45" s="55">
        <f t="shared" si="29"/>
        <v>1947.9148</v>
      </c>
      <c r="T45" s="55">
        <f t="shared" si="25"/>
        <v>1947.9148</v>
      </c>
      <c r="U45" s="55">
        <f t="shared" si="25"/>
        <v>1947.9148</v>
      </c>
      <c r="V45" s="55">
        <f t="shared" si="25"/>
        <v>1947.9148</v>
      </c>
      <c r="W45" s="55">
        <f t="shared" si="25"/>
        <v>1947.9148</v>
      </c>
      <c r="X45" s="55">
        <f t="shared" si="25"/>
        <v>1947.9148</v>
      </c>
      <c r="Y45" s="55">
        <f t="shared" si="25"/>
        <v>1947.9148</v>
      </c>
      <c r="Z45" s="55">
        <f t="shared" si="25"/>
        <v>1947.9148</v>
      </c>
      <c r="AA45" s="52" t="str">
        <f t="shared" si="30"/>
        <v xml:space="preserve">  -  Cumin</v>
      </c>
      <c r="AB45" s="35">
        <f t="shared" si="26"/>
        <v>3500</v>
      </c>
      <c r="AC45" s="35">
        <f t="shared" si="26"/>
        <v>5608.2000000000007</v>
      </c>
      <c r="AD45" s="35">
        <f t="shared" si="26"/>
        <v>5608.2000000000007</v>
      </c>
      <c r="AE45" s="35">
        <f t="shared" si="26"/>
        <v>5608.2000000000007</v>
      </c>
      <c r="AF45" s="35">
        <f t="shared" si="26"/>
        <v>5843.7443999999996</v>
      </c>
      <c r="AG45" s="35">
        <f t="shared" si="26"/>
        <v>5843.7443999999996</v>
      </c>
      <c r="AH45" s="35">
        <f t="shared" si="26"/>
        <v>5843.7443999999996</v>
      </c>
      <c r="AI45" s="35">
        <f t="shared" si="26"/>
        <v>5843.7443999999996</v>
      </c>
      <c r="AJ45" s="35">
        <f t="shared" si="26"/>
        <v>5843.7443999999996</v>
      </c>
      <c r="AK45" s="35">
        <f t="shared" si="26"/>
        <v>5843.7443999999996</v>
      </c>
      <c r="AL45" s="35">
        <f t="shared" si="26"/>
        <v>5843.7443999999996</v>
      </c>
      <c r="AM45" s="36">
        <f t="shared" si="26"/>
        <v>5843.7443999999996</v>
      </c>
      <c r="AN45" s="33" t="str">
        <f t="shared" si="31"/>
        <v xml:space="preserve">  -  Cumin</v>
      </c>
      <c r="AO45" s="37">
        <f t="shared" si="32"/>
        <v>-1144</v>
      </c>
      <c r="AP45" s="35">
        <f t="shared" si="27"/>
        <v>-1716</v>
      </c>
      <c r="AQ45" s="35">
        <f t="shared" si="27"/>
        <v>-1716</v>
      </c>
      <c r="AR45" s="35">
        <f t="shared" si="27"/>
        <v>-1716</v>
      </c>
      <c r="AS45" s="35">
        <f t="shared" si="27"/>
        <v>-1716</v>
      </c>
      <c r="AT45" s="35">
        <f t="shared" si="27"/>
        <v>-1716</v>
      </c>
      <c r="AU45" s="35">
        <f t="shared" si="27"/>
        <v>-1716</v>
      </c>
      <c r="AV45" s="35">
        <f t="shared" si="27"/>
        <v>-1716</v>
      </c>
      <c r="AW45" s="35">
        <f t="shared" si="27"/>
        <v>-1716</v>
      </c>
      <c r="AX45" s="35">
        <f t="shared" si="27"/>
        <v>-1716</v>
      </c>
      <c r="AY45" s="35">
        <f t="shared" si="27"/>
        <v>-1716</v>
      </c>
      <c r="AZ45" s="36">
        <f t="shared" si="27"/>
        <v>-1716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</row>
    <row r="46" spans="1:69" x14ac:dyDescent="0.3">
      <c r="A46" s="33" t="s">
        <v>71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52" t="str">
        <f t="shared" si="28"/>
        <v xml:space="preserve">  -  Sub Chefe de Bar</v>
      </c>
      <c r="O46" s="37"/>
      <c r="P46" s="35"/>
      <c r="Q46" s="35"/>
      <c r="R46" s="35"/>
      <c r="S46" s="55">
        <f t="shared" si="29"/>
        <v>0</v>
      </c>
      <c r="T46" s="55">
        <f t="shared" si="25"/>
        <v>0</v>
      </c>
      <c r="U46" s="55">
        <f t="shared" si="25"/>
        <v>0</v>
      </c>
      <c r="V46" s="55">
        <f t="shared" si="25"/>
        <v>0</v>
      </c>
      <c r="W46" s="55">
        <f t="shared" si="25"/>
        <v>0</v>
      </c>
      <c r="X46" s="55">
        <f t="shared" si="25"/>
        <v>0</v>
      </c>
      <c r="Y46" s="55">
        <f t="shared" si="25"/>
        <v>0</v>
      </c>
      <c r="Z46" s="55">
        <f t="shared" si="25"/>
        <v>0</v>
      </c>
      <c r="AA46" s="52" t="str">
        <f t="shared" si="30"/>
        <v xml:space="preserve">  -  Sub Chefe de Bar</v>
      </c>
      <c r="AB46" s="35">
        <f t="shared" si="26"/>
        <v>0</v>
      </c>
      <c r="AC46" s="35">
        <f t="shared" si="26"/>
        <v>0</v>
      </c>
      <c r="AD46" s="35">
        <f t="shared" si="26"/>
        <v>0</v>
      </c>
      <c r="AE46" s="35">
        <f t="shared" si="26"/>
        <v>0</v>
      </c>
      <c r="AF46" s="35">
        <f t="shared" si="26"/>
        <v>0</v>
      </c>
      <c r="AG46" s="35">
        <f t="shared" si="26"/>
        <v>0</v>
      </c>
      <c r="AH46" s="35">
        <f t="shared" si="26"/>
        <v>0</v>
      </c>
      <c r="AI46" s="35">
        <f t="shared" si="26"/>
        <v>0</v>
      </c>
      <c r="AJ46" s="35">
        <f t="shared" si="26"/>
        <v>0</v>
      </c>
      <c r="AK46" s="35">
        <f t="shared" si="26"/>
        <v>0</v>
      </c>
      <c r="AL46" s="35">
        <f t="shared" si="26"/>
        <v>0</v>
      </c>
      <c r="AM46" s="36">
        <f t="shared" si="26"/>
        <v>0</v>
      </c>
      <c r="AN46" s="33" t="str">
        <f t="shared" si="31"/>
        <v xml:space="preserve">  -  Sub Chefe de Bar</v>
      </c>
      <c r="AO46" s="37">
        <f t="shared" si="32"/>
        <v>0</v>
      </c>
      <c r="AP46" s="35">
        <f t="shared" si="27"/>
        <v>0</v>
      </c>
      <c r="AQ46" s="35">
        <f t="shared" si="27"/>
        <v>0</v>
      </c>
      <c r="AR46" s="35">
        <f t="shared" si="27"/>
        <v>0</v>
      </c>
      <c r="AS46" s="35">
        <f t="shared" si="27"/>
        <v>0</v>
      </c>
      <c r="AT46" s="35">
        <f t="shared" si="27"/>
        <v>0</v>
      </c>
      <c r="AU46" s="35">
        <f t="shared" si="27"/>
        <v>0</v>
      </c>
      <c r="AV46" s="35">
        <f t="shared" si="27"/>
        <v>0</v>
      </c>
      <c r="AW46" s="35">
        <f t="shared" si="27"/>
        <v>0</v>
      </c>
      <c r="AX46" s="35">
        <f t="shared" si="27"/>
        <v>0</v>
      </c>
      <c r="AY46" s="35">
        <f t="shared" si="27"/>
        <v>0</v>
      </c>
      <c r="AZ46" s="36">
        <f t="shared" si="27"/>
        <v>0</v>
      </c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</row>
    <row r="47" spans="1:69" x14ac:dyDescent="0.3">
      <c r="A47" s="33" t="s">
        <v>72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52" t="str">
        <f t="shared" si="28"/>
        <v xml:space="preserve">  -  Bartender III</v>
      </c>
      <c r="O47" s="37"/>
      <c r="P47" s="35">
        <v>2569</v>
      </c>
      <c r="Q47" s="35">
        <v>2569</v>
      </c>
      <c r="R47" s="35">
        <v>2569</v>
      </c>
      <c r="S47" s="55">
        <f t="shared" si="29"/>
        <v>2676.8980000000001</v>
      </c>
      <c r="T47" s="55">
        <f t="shared" si="25"/>
        <v>2676.8980000000001</v>
      </c>
      <c r="U47" s="55">
        <f t="shared" si="25"/>
        <v>2676.8980000000001</v>
      </c>
      <c r="V47" s="55">
        <f t="shared" si="25"/>
        <v>2676.8980000000001</v>
      </c>
      <c r="W47" s="55">
        <f t="shared" si="25"/>
        <v>2676.8980000000001</v>
      </c>
      <c r="X47" s="55">
        <f t="shared" si="25"/>
        <v>2676.8980000000001</v>
      </c>
      <c r="Y47" s="55">
        <f t="shared" si="25"/>
        <v>2676.8980000000001</v>
      </c>
      <c r="Z47" s="55">
        <f t="shared" si="25"/>
        <v>2676.8980000000001</v>
      </c>
      <c r="AA47" s="52" t="str">
        <f t="shared" si="30"/>
        <v xml:space="preserve">  -  Bartender III</v>
      </c>
      <c r="AB47" s="35">
        <f t="shared" si="26"/>
        <v>0</v>
      </c>
      <c r="AC47" s="35">
        <f t="shared" si="26"/>
        <v>0</v>
      </c>
      <c r="AD47" s="35">
        <f t="shared" si="26"/>
        <v>0</v>
      </c>
      <c r="AE47" s="35">
        <f t="shared" si="26"/>
        <v>0</v>
      </c>
      <c r="AF47" s="35">
        <f t="shared" si="26"/>
        <v>0</v>
      </c>
      <c r="AG47" s="35">
        <f t="shared" si="26"/>
        <v>0</v>
      </c>
      <c r="AH47" s="35">
        <f t="shared" si="26"/>
        <v>0</v>
      </c>
      <c r="AI47" s="35">
        <f t="shared" si="26"/>
        <v>0</v>
      </c>
      <c r="AJ47" s="35">
        <f t="shared" si="26"/>
        <v>0</v>
      </c>
      <c r="AK47" s="35">
        <f t="shared" si="26"/>
        <v>0</v>
      </c>
      <c r="AL47" s="35">
        <f t="shared" si="26"/>
        <v>0</v>
      </c>
      <c r="AM47" s="36">
        <f t="shared" si="26"/>
        <v>0</v>
      </c>
      <c r="AN47" s="33" t="str">
        <f t="shared" si="31"/>
        <v xml:space="preserve">  -  Bartender III</v>
      </c>
      <c r="AO47" s="37">
        <f t="shared" si="32"/>
        <v>0</v>
      </c>
      <c r="AP47" s="35">
        <f t="shared" si="27"/>
        <v>0</v>
      </c>
      <c r="AQ47" s="35">
        <f t="shared" si="27"/>
        <v>0</v>
      </c>
      <c r="AR47" s="35">
        <f t="shared" si="27"/>
        <v>0</v>
      </c>
      <c r="AS47" s="35">
        <f t="shared" si="27"/>
        <v>0</v>
      </c>
      <c r="AT47" s="35">
        <f t="shared" si="27"/>
        <v>0</v>
      </c>
      <c r="AU47" s="35">
        <f t="shared" si="27"/>
        <v>0</v>
      </c>
      <c r="AV47" s="35">
        <f t="shared" si="27"/>
        <v>0</v>
      </c>
      <c r="AW47" s="35">
        <f t="shared" si="27"/>
        <v>0</v>
      </c>
      <c r="AX47" s="35">
        <f t="shared" si="27"/>
        <v>0</v>
      </c>
      <c r="AY47" s="35">
        <f t="shared" si="27"/>
        <v>0</v>
      </c>
      <c r="AZ47" s="36">
        <f t="shared" si="27"/>
        <v>0</v>
      </c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</row>
    <row r="48" spans="1:69" x14ac:dyDescent="0.3">
      <c r="A48" s="33" t="s">
        <v>73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52" t="str">
        <f t="shared" si="28"/>
        <v xml:space="preserve">  -  Bartender II</v>
      </c>
      <c r="O48" s="37"/>
      <c r="P48" s="35">
        <v>2149.81</v>
      </c>
      <c r="Q48" s="35">
        <v>2149.81</v>
      </c>
      <c r="R48" s="35">
        <v>2149.81</v>
      </c>
      <c r="S48" s="55">
        <f t="shared" si="29"/>
        <v>2240.1020199999998</v>
      </c>
      <c r="T48" s="55">
        <f t="shared" si="25"/>
        <v>2240.1020199999998</v>
      </c>
      <c r="U48" s="55">
        <f t="shared" si="25"/>
        <v>2240.1020199999998</v>
      </c>
      <c r="V48" s="55">
        <f t="shared" si="25"/>
        <v>2240.1020199999998</v>
      </c>
      <c r="W48" s="55">
        <f t="shared" si="25"/>
        <v>2240.1020199999998</v>
      </c>
      <c r="X48" s="55">
        <f t="shared" si="25"/>
        <v>2240.1020199999998</v>
      </c>
      <c r="Y48" s="55">
        <f t="shared" si="25"/>
        <v>2240.1020199999998</v>
      </c>
      <c r="Z48" s="55">
        <f t="shared" si="25"/>
        <v>2240.1020199999998</v>
      </c>
      <c r="AA48" s="52" t="str">
        <f t="shared" si="30"/>
        <v xml:space="preserve">  -  Bartender II</v>
      </c>
      <c r="AB48" s="35">
        <f t="shared" si="26"/>
        <v>0</v>
      </c>
      <c r="AC48" s="35">
        <f t="shared" si="26"/>
        <v>0</v>
      </c>
      <c r="AD48" s="35">
        <f t="shared" si="26"/>
        <v>0</v>
      </c>
      <c r="AE48" s="35">
        <f t="shared" si="26"/>
        <v>0</v>
      </c>
      <c r="AF48" s="35">
        <f t="shared" si="26"/>
        <v>0</v>
      </c>
      <c r="AG48" s="35">
        <f t="shared" si="26"/>
        <v>0</v>
      </c>
      <c r="AH48" s="35">
        <f t="shared" si="26"/>
        <v>0</v>
      </c>
      <c r="AI48" s="35">
        <f t="shared" si="26"/>
        <v>0</v>
      </c>
      <c r="AJ48" s="35">
        <f t="shared" si="26"/>
        <v>0</v>
      </c>
      <c r="AK48" s="35">
        <f t="shared" si="26"/>
        <v>0</v>
      </c>
      <c r="AL48" s="35">
        <f t="shared" si="26"/>
        <v>0</v>
      </c>
      <c r="AM48" s="36">
        <f t="shared" si="26"/>
        <v>0</v>
      </c>
      <c r="AN48" s="33" t="str">
        <f t="shared" si="31"/>
        <v xml:space="preserve">  -  Bartender II</v>
      </c>
      <c r="AO48" s="37">
        <f t="shared" si="32"/>
        <v>0</v>
      </c>
      <c r="AP48" s="35">
        <f t="shared" si="27"/>
        <v>0</v>
      </c>
      <c r="AQ48" s="35">
        <f t="shared" si="27"/>
        <v>0</v>
      </c>
      <c r="AR48" s="35">
        <f t="shared" si="27"/>
        <v>0</v>
      </c>
      <c r="AS48" s="35">
        <f t="shared" si="27"/>
        <v>0</v>
      </c>
      <c r="AT48" s="35">
        <f t="shared" si="27"/>
        <v>0</v>
      </c>
      <c r="AU48" s="35">
        <f t="shared" si="27"/>
        <v>0</v>
      </c>
      <c r="AV48" s="35">
        <f t="shared" si="27"/>
        <v>0</v>
      </c>
      <c r="AW48" s="35">
        <f t="shared" si="27"/>
        <v>0</v>
      </c>
      <c r="AX48" s="35">
        <f t="shared" si="27"/>
        <v>0</v>
      </c>
      <c r="AY48" s="35">
        <f t="shared" si="27"/>
        <v>0</v>
      </c>
      <c r="AZ48" s="36">
        <f t="shared" si="27"/>
        <v>0</v>
      </c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</row>
    <row r="49" spans="1:69" x14ac:dyDescent="0.3">
      <c r="A49" s="33" t="s">
        <v>74</v>
      </c>
      <c r="B49" s="34">
        <v>3</v>
      </c>
      <c r="C49" s="34">
        <v>3</v>
      </c>
      <c r="D49" s="34">
        <v>3</v>
      </c>
      <c r="E49" s="34">
        <v>3</v>
      </c>
      <c r="F49" s="34">
        <v>3</v>
      </c>
      <c r="G49" s="34">
        <v>3</v>
      </c>
      <c r="H49" s="34">
        <v>3</v>
      </c>
      <c r="I49" s="34">
        <v>3</v>
      </c>
      <c r="J49" s="34">
        <v>3</v>
      </c>
      <c r="K49" s="34">
        <v>3</v>
      </c>
      <c r="L49" s="34">
        <v>3</v>
      </c>
      <c r="M49" s="34">
        <v>3</v>
      </c>
      <c r="N49" s="52" t="str">
        <f t="shared" si="28"/>
        <v xml:space="preserve">  -  Bartender I</v>
      </c>
      <c r="O49" s="37">
        <v>2000</v>
      </c>
      <c r="P49" s="35">
        <v>1938.56</v>
      </c>
      <c r="Q49" s="35">
        <v>1938.56</v>
      </c>
      <c r="R49" s="35">
        <v>1938.56</v>
      </c>
      <c r="S49" s="55">
        <f t="shared" si="29"/>
        <v>2019.9795199999999</v>
      </c>
      <c r="T49" s="55">
        <f t="shared" si="25"/>
        <v>2019.9795199999999</v>
      </c>
      <c r="U49" s="55">
        <f t="shared" si="25"/>
        <v>2019.9795199999999</v>
      </c>
      <c r="V49" s="55">
        <f t="shared" si="25"/>
        <v>2019.9795199999999</v>
      </c>
      <c r="W49" s="55">
        <f t="shared" si="25"/>
        <v>2019.9795199999999</v>
      </c>
      <c r="X49" s="55">
        <f t="shared" si="25"/>
        <v>2019.9795199999999</v>
      </c>
      <c r="Y49" s="55">
        <f t="shared" si="25"/>
        <v>2019.9795199999999</v>
      </c>
      <c r="Z49" s="55">
        <f t="shared" si="25"/>
        <v>2019.9795199999999</v>
      </c>
      <c r="AA49" s="52" t="str">
        <f t="shared" si="30"/>
        <v xml:space="preserve">  -  Bartender I</v>
      </c>
      <c r="AB49" s="35">
        <f t="shared" si="26"/>
        <v>6000</v>
      </c>
      <c r="AC49" s="35">
        <f t="shared" si="26"/>
        <v>5815.68</v>
      </c>
      <c r="AD49" s="35">
        <f t="shared" si="26"/>
        <v>5815.68</v>
      </c>
      <c r="AE49" s="35">
        <f t="shared" si="26"/>
        <v>5815.68</v>
      </c>
      <c r="AF49" s="35">
        <f t="shared" si="26"/>
        <v>6059.9385599999996</v>
      </c>
      <c r="AG49" s="35">
        <f t="shared" si="26"/>
        <v>6059.9385599999996</v>
      </c>
      <c r="AH49" s="35">
        <f t="shared" si="26"/>
        <v>6059.9385599999996</v>
      </c>
      <c r="AI49" s="35">
        <f t="shared" si="26"/>
        <v>6059.9385599999996</v>
      </c>
      <c r="AJ49" s="35">
        <f t="shared" si="26"/>
        <v>6059.9385599999996</v>
      </c>
      <c r="AK49" s="35">
        <f t="shared" si="26"/>
        <v>6059.9385599999996</v>
      </c>
      <c r="AL49" s="35">
        <f t="shared" si="26"/>
        <v>6059.9385599999996</v>
      </c>
      <c r="AM49" s="36">
        <f t="shared" si="26"/>
        <v>6059.9385599999996</v>
      </c>
      <c r="AN49" s="33" t="str">
        <f t="shared" si="31"/>
        <v xml:space="preserve">  -  Bartender I</v>
      </c>
      <c r="AO49" s="37">
        <f t="shared" si="32"/>
        <v>-1716</v>
      </c>
      <c r="AP49" s="35">
        <f t="shared" si="27"/>
        <v>-1716</v>
      </c>
      <c r="AQ49" s="35">
        <f t="shared" si="27"/>
        <v>-1716</v>
      </c>
      <c r="AR49" s="35">
        <f t="shared" si="27"/>
        <v>-1716</v>
      </c>
      <c r="AS49" s="35">
        <f t="shared" si="27"/>
        <v>-1716</v>
      </c>
      <c r="AT49" s="35">
        <f t="shared" si="27"/>
        <v>-1716</v>
      </c>
      <c r="AU49" s="35">
        <f t="shared" si="27"/>
        <v>-1716</v>
      </c>
      <c r="AV49" s="35">
        <f t="shared" si="27"/>
        <v>-1716</v>
      </c>
      <c r="AW49" s="35">
        <f t="shared" si="27"/>
        <v>-1716</v>
      </c>
      <c r="AX49" s="35">
        <f t="shared" si="27"/>
        <v>-1716</v>
      </c>
      <c r="AY49" s="35">
        <f t="shared" si="27"/>
        <v>-1716</v>
      </c>
      <c r="AZ49" s="36">
        <f t="shared" si="27"/>
        <v>-1716</v>
      </c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</row>
    <row r="50" spans="1:69" x14ac:dyDescent="0.3">
      <c r="A50" s="33" t="s">
        <v>75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52" t="str">
        <f t="shared" si="28"/>
        <v xml:space="preserve">  -  Bar Back</v>
      </c>
      <c r="O50" s="37"/>
      <c r="P50" s="35">
        <v>1804</v>
      </c>
      <c r="Q50" s="35">
        <v>1804</v>
      </c>
      <c r="R50" s="35">
        <v>1804</v>
      </c>
      <c r="S50" s="55">
        <f t="shared" si="29"/>
        <v>1879.768</v>
      </c>
      <c r="T50" s="55">
        <f t="shared" si="25"/>
        <v>1879.768</v>
      </c>
      <c r="U50" s="55">
        <f t="shared" si="25"/>
        <v>1879.768</v>
      </c>
      <c r="V50" s="55">
        <f t="shared" si="25"/>
        <v>1879.768</v>
      </c>
      <c r="W50" s="55">
        <f t="shared" si="25"/>
        <v>1879.768</v>
      </c>
      <c r="X50" s="55">
        <f t="shared" si="25"/>
        <v>1879.768</v>
      </c>
      <c r="Y50" s="55">
        <f t="shared" si="25"/>
        <v>1879.768</v>
      </c>
      <c r="Z50" s="55">
        <f t="shared" si="25"/>
        <v>1879.768</v>
      </c>
      <c r="AA50" s="52" t="str">
        <f t="shared" si="30"/>
        <v xml:space="preserve">  -  Bar Back</v>
      </c>
      <c r="AB50" s="35">
        <f t="shared" si="26"/>
        <v>0</v>
      </c>
      <c r="AC50" s="35">
        <f t="shared" si="26"/>
        <v>0</v>
      </c>
      <c r="AD50" s="35">
        <f t="shared" si="26"/>
        <v>0</v>
      </c>
      <c r="AE50" s="35">
        <f t="shared" si="26"/>
        <v>0</v>
      </c>
      <c r="AF50" s="35">
        <f t="shared" si="26"/>
        <v>0</v>
      </c>
      <c r="AG50" s="35">
        <f t="shared" si="26"/>
        <v>0</v>
      </c>
      <c r="AH50" s="35">
        <f t="shared" si="26"/>
        <v>0</v>
      </c>
      <c r="AI50" s="35">
        <f t="shared" si="26"/>
        <v>0</v>
      </c>
      <c r="AJ50" s="35">
        <f t="shared" si="26"/>
        <v>0</v>
      </c>
      <c r="AK50" s="35">
        <f t="shared" si="26"/>
        <v>0</v>
      </c>
      <c r="AL50" s="35">
        <f t="shared" si="26"/>
        <v>0</v>
      </c>
      <c r="AM50" s="36">
        <f t="shared" si="26"/>
        <v>0</v>
      </c>
      <c r="AN50" s="33" t="str">
        <f t="shared" si="31"/>
        <v xml:space="preserve">  -  Bar Back</v>
      </c>
      <c r="AO50" s="37">
        <f t="shared" si="32"/>
        <v>0</v>
      </c>
      <c r="AP50" s="35">
        <f t="shared" si="27"/>
        <v>0</v>
      </c>
      <c r="AQ50" s="35">
        <f t="shared" si="27"/>
        <v>0</v>
      </c>
      <c r="AR50" s="35">
        <f t="shared" si="27"/>
        <v>0</v>
      </c>
      <c r="AS50" s="35">
        <f t="shared" si="27"/>
        <v>0</v>
      </c>
      <c r="AT50" s="35">
        <f t="shared" si="27"/>
        <v>0</v>
      </c>
      <c r="AU50" s="35">
        <f t="shared" si="27"/>
        <v>0</v>
      </c>
      <c r="AV50" s="35">
        <f t="shared" si="27"/>
        <v>0</v>
      </c>
      <c r="AW50" s="35">
        <f t="shared" si="27"/>
        <v>0</v>
      </c>
      <c r="AX50" s="35">
        <f t="shared" si="27"/>
        <v>0</v>
      </c>
      <c r="AY50" s="35">
        <f t="shared" si="27"/>
        <v>0</v>
      </c>
      <c r="AZ50" s="36">
        <f t="shared" si="27"/>
        <v>0</v>
      </c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</row>
    <row r="51" spans="1:69" x14ac:dyDescent="0.3">
      <c r="A51" s="33" t="s">
        <v>76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52" t="str">
        <f t="shared" si="28"/>
        <v xml:space="preserve">  -  Barista III</v>
      </c>
      <c r="O51" s="37"/>
      <c r="P51" s="35">
        <v>2430.2199999999998</v>
      </c>
      <c r="Q51" s="35">
        <v>2430.2199999999998</v>
      </c>
      <c r="R51" s="35">
        <v>2430.2199999999998</v>
      </c>
      <c r="S51" s="55">
        <f t="shared" si="29"/>
        <v>2532.2892399999996</v>
      </c>
      <c r="T51" s="55">
        <f t="shared" si="25"/>
        <v>2532.2892399999996</v>
      </c>
      <c r="U51" s="55">
        <f t="shared" si="25"/>
        <v>2532.2892399999996</v>
      </c>
      <c r="V51" s="55">
        <f t="shared" si="25"/>
        <v>2532.2892399999996</v>
      </c>
      <c r="W51" s="55">
        <f t="shared" si="25"/>
        <v>2532.2892399999996</v>
      </c>
      <c r="X51" s="55">
        <f t="shared" si="25"/>
        <v>2532.2892399999996</v>
      </c>
      <c r="Y51" s="55">
        <f t="shared" si="25"/>
        <v>2532.2892399999996</v>
      </c>
      <c r="Z51" s="55">
        <f t="shared" si="25"/>
        <v>2532.2892399999996</v>
      </c>
      <c r="AA51" s="52" t="str">
        <f t="shared" si="30"/>
        <v xml:space="preserve">  -  Barista III</v>
      </c>
      <c r="AB51" s="35">
        <f t="shared" si="26"/>
        <v>0</v>
      </c>
      <c r="AC51" s="35">
        <f t="shared" si="26"/>
        <v>0</v>
      </c>
      <c r="AD51" s="35">
        <f t="shared" si="26"/>
        <v>0</v>
      </c>
      <c r="AE51" s="35">
        <f t="shared" si="26"/>
        <v>0</v>
      </c>
      <c r="AF51" s="35">
        <f t="shared" si="26"/>
        <v>0</v>
      </c>
      <c r="AG51" s="35">
        <f t="shared" si="26"/>
        <v>0</v>
      </c>
      <c r="AH51" s="35">
        <f t="shared" si="26"/>
        <v>0</v>
      </c>
      <c r="AI51" s="35">
        <f t="shared" si="26"/>
        <v>0</v>
      </c>
      <c r="AJ51" s="35">
        <f t="shared" si="26"/>
        <v>0</v>
      </c>
      <c r="AK51" s="35">
        <f t="shared" si="26"/>
        <v>0</v>
      </c>
      <c r="AL51" s="35">
        <f t="shared" si="26"/>
        <v>0</v>
      </c>
      <c r="AM51" s="36">
        <f t="shared" si="26"/>
        <v>0</v>
      </c>
      <c r="AN51" s="33" t="str">
        <f t="shared" si="31"/>
        <v xml:space="preserve">  -  Barista III</v>
      </c>
      <c r="AO51" s="37">
        <f t="shared" si="32"/>
        <v>0</v>
      </c>
      <c r="AP51" s="35">
        <f t="shared" si="27"/>
        <v>0</v>
      </c>
      <c r="AQ51" s="35">
        <f t="shared" si="27"/>
        <v>0</v>
      </c>
      <c r="AR51" s="35">
        <f t="shared" si="27"/>
        <v>0</v>
      </c>
      <c r="AS51" s="35">
        <f t="shared" si="27"/>
        <v>0</v>
      </c>
      <c r="AT51" s="35">
        <f t="shared" si="27"/>
        <v>0</v>
      </c>
      <c r="AU51" s="35">
        <f t="shared" si="27"/>
        <v>0</v>
      </c>
      <c r="AV51" s="35">
        <f t="shared" si="27"/>
        <v>0</v>
      </c>
      <c r="AW51" s="35">
        <f t="shared" si="27"/>
        <v>0</v>
      </c>
      <c r="AX51" s="35">
        <f t="shared" si="27"/>
        <v>0</v>
      </c>
      <c r="AY51" s="35">
        <f t="shared" si="27"/>
        <v>0</v>
      </c>
      <c r="AZ51" s="36">
        <f t="shared" si="27"/>
        <v>0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</row>
    <row r="52" spans="1:69" x14ac:dyDescent="0.3">
      <c r="A52" s="33" t="s">
        <v>77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52" t="str">
        <f t="shared" si="28"/>
        <v xml:space="preserve">  -  Barista II</v>
      </c>
      <c r="O52" s="37"/>
      <c r="P52" s="35">
        <v>2330.67</v>
      </c>
      <c r="Q52" s="35">
        <v>2330.67</v>
      </c>
      <c r="R52" s="35">
        <v>2330.67</v>
      </c>
      <c r="S52" s="55">
        <f t="shared" si="29"/>
        <v>2428.5581400000001</v>
      </c>
      <c r="T52" s="55">
        <f t="shared" si="25"/>
        <v>2428.5581400000001</v>
      </c>
      <c r="U52" s="55">
        <f t="shared" si="25"/>
        <v>2428.5581400000001</v>
      </c>
      <c r="V52" s="55">
        <f t="shared" si="25"/>
        <v>2428.5581400000001</v>
      </c>
      <c r="W52" s="55">
        <f t="shared" si="25"/>
        <v>2428.5581400000001</v>
      </c>
      <c r="X52" s="55">
        <f t="shared" si="25"/>
        <v>2428.5581400000001</v>
      </c>
      <c r="Y52" s="55">
        <f t="shared" si="25"/>
        <v>2428.5581400000001</v>
      </c>
      <c r="Z52" s="55">
        <f t="shared" si="25"/>
        <v>2428.5581400000001</v>
      </c>
      <c r="AA52" s="52" t="str">
        <f t="shared" si="30"/>
        <v xml:space="preserve">  -  Barista II</v>
      </c>
      <c r="AB52" s="35">
        <f t="shared" si="26"/>
        <v>0</v>
      </c>
      <c r="AC52" s="35">
        <f t="shared" si="26"/>
        <v>0</v>
      </c>
      <c r="AD52" s="35">
        <f t="shared" si="26"/>
        <v>0</v>
      </c>
      <c r="AE52" s="35">
        <f t="shared" si="26"/>
        <v>0</v>
      </c>
      <c r="AF52" s="35">
        <f t="shared" si="26"/>
        <v>0</v>
      </c>
      <c r="AG52" s="35">
        <f t="shared" si="26"/>
        <v>0</v>
      </c>
      <c r="AH52" s="35">
        <f t="shared" si="26"/>
        <v>0</v>
      </c>
      <c r="AI52" s="35">
        <f t="shared" si="26"/>
        <v>0</v>
      </c>
      <c r="AJ52" s="35">
        <f t="shared" si="26"/>
        <v>0</v>
      </c>
      <c r="AK52" s="35">
        <f t="shared" si="26"/>
        <v>0</v>
      </c>
      <c r="AL52" s="35">
        <f t="shared" si="26"/>
        <v>0</v>
      </c>
      <c r="AM52" s="36">
        <f t="shared" si="26"/>
        <v>0</v>
      </c>
      <c r="AN52" s="33" t="str">
        <f t="shared" si="31"/>
        <v xml:space="preserve">  -  Barista II</v>
      </c>
      <c r="AO52" s="37">
        <f t="shared" si="32"/>
        <v>0</v>
      </c>
      <c r="AP52" s="35">
        <f t="shared" si="27"/>
        <v>0</v>
      </c>
      <c r="AQ52" s="35">
        <f t="shared" si="27"/>
        <v>0</v>
      </c>
      <c r="AR52" s="35">
        <f t="shared" si="27"/>
        <v>0</v>
      </c>
      <c r="AS52" s="35">
        <f t="shared" si="27"/>
        <v>0</v>
      </c>
      <c r="AT52" s="35">
        <f t="shared" si="27"/>
        <v>0</v>
      </c>
      <c r="AU52" s="35">
        <f t="shared" si="27"/>
        <v>0</v>
      </c>
      <c r="AV52" s="35">
        <f t="shared" si="27"/>
        <v>0</v>
      </c>
      <c r="AW52" s="35">
        <f t="shared" si="27"/>
        <v>0</v>
      </c>
      <c r="AX52" s="35">
        <f t="shared" si="27"/>
        <v>0</v>
      </c>
      <c r="AY52" s="35">
        <f t="shared" si="27"/>
        <v>0</v>
      </c>
      <c r="AZ52" s="36">
        <f t="shared" si="27"/>
        <v>0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</row>
    <row r="53" spans="1:69" x14ac:dyDescent="0.3">
      <c r="A53" s="33" t="s">
        <v>78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52" t="str">
        <f t="shared" si="28"/>
        <v xml:space="preserve">  -  Barista I</v>
      </c>
      <c r="O53" s="37"/>
      <c r="P53" s="35">
        <v>1869.4</v>
      </c>
      <c r="Q53" s="35">
        <v>1869.4</v>
      </c>
      <c r="R53" s="35">
        <v>1869.4</v>
      </c>
      <c r="S53" s="55">
        <f t="shared" si="29"/>
        <v>1947.9148</v>
      </c>
      <c r="T53" s="55">
        <f t="shared" si="25"/>
        <v>1947.9148</v>
      </c>
      <c r="U53" s="55">
        <f t="shared" si="25"/>
        <v>1947.9148</v>
      </c>
      <c r="V53" s="55">
        <f t="shared" si="25"/>
        <v>1947.9148</v>
      </c>
      <c r="W53" s="55">
        <f t="shared" si="25"/>
        <v>1947.9148</v>
      </c>
      <c r="X53" s="55">
        <f t="shared" si="25"/>
        <v>1947.9148</v>
      </c>
      <c r="Y53" s="55">
        <f t="shared" si="25"/>
        <v>1947.9148</v>
      </c>
      <c r="Z53" s="55">
        <f t="shared" si="25"/>
        <v>1947.9148</v>
      </c>
      <c r="AA53" s="52" t="str">
        <f t="shared" si="30"/>
        <v xml:space="preserve">  -  Barista I</v>
      </c>
      <c r="AB53" s="35">
        <f t="shared" si="26"/>
        <v>0</v>
      </c>
      <c r="AC53" s="35">
        <f t="shared" si="26"/>
        <v>0</v>
      </c>
      <c r="AD53" s="35">
        <f t="shared" si="26"/>
        <v>0</v>
      </c>
      <c r="AE53" s="35">
        <f t="shared" si="26"/>
        <v>0</v>
      </c>
      <c r="AF53" s="35">
        <f t="shared" si="26"/>
        <v>0</v>
      </c>
      <c r="AG53" s="35">
        <f t="shared" si="26"/>
        <v>0</v>
      </c>
      <c r="AH53" s="35">
        <f t="shared" si="26"/>
        <v>0</v>
      </c>
      <c r="AI53" s="35">
        <f t="shared" si="26"/>
        <v>0</v>
      </c>
      <c r="AJ53" s="35">
        <f t="shared" si="26"/>
        <v>0</v>
      </c>
      <c r="AK53" s="35">
        <f t="shared" si="26"/>
        <v>0</v>
      </c>
      <c r="AL53" s="35">
        <f t="shared" si="26"/>
        <v>0</v>
      </c>
      <c r="AM53" s="36">
        <f t="shared" si="26"/>
        <v>0</v>
      </c>
      <c r="AN53" s="33" t="str">
        <f t="shared" si="31"/>
        <v xml:space="preserve">  -  Barista I</v>
      </c>
      <c r="AO53" s="37">
        <f t="shared" si="32"/>
        <v>0</v>
      </c>
      <c r="AP53" s="35">
        <f t="shared" si="27"/>
        <v>0</v>
      </c>
      <c r="AQ53" s="35">
        <f t="shared" si="27"/>
        <v>0</v>
      </c>
      <c r="AR53" s="35">
        <f t="shared" si="27"/>
        <v>0</v>
      </c>
      <c r="AS53" s="35">
        <f t="shared" si="27"/>
        <v>0</v>
      </c>
      <c r="AT53" s="35">
        <f t="shared" si="27"/>
        <v>0</v>
      </c>
      <c r="AU53" s="35">
        <f t="shared" si="27"/>
        <v>0</v>
      </c>
      <c r="AV53" s="35">
        <f t="shared" si="27"/>
        <v>0</v>
      </c>
      <c r="AW53" s="35">
        <f t="shared" si="27"/>
        <v>0</v>
      </c>
      <c r="AX53" s="35">
        <f t="shared" si="27"/>
        <v>0</v>
      </c>
      <c r="AY53" s="35">
        <f t="shared" si="27"/>
        <v>0</v>
      </c>
      <c r="AZ53" s="36">
        <f t="shared" si="27"/>
        <v>0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  <row r="54" spans="1:69" x14ac:dyDescent="0.3">
      <c r="A54" s="33" t="s">
        <v>79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52" t="str">
        <f t="shared" si="28"/>
        <v xml:space="preserve">  -  Chopeiro III</v>
      </c>
      <c r="O54" s="37"/>
      <c r="P54" s="35">
        <v>2569</v>
      </c>
      <c r="Q54" s="35">
        <v>2569</v>
      </c>
      <c r="R54" s="35">
        <v>2569</v>
      </c>
      <c r="S54" s="55">
        <f t="shared" si="29"/>
        <v>2676.8980000000001</v>
      </c>
      <c r="T54" s="55">
        <f t="shared" si="25"/>
        <v>2676.8980000000001</v>
      </c>
      <c r="U54" s="55">
        <f t="shared" si="25"/>
        <v>2676.8980000000001</v>
      </c>
      <c r="V54" s="55">
        <f t="shared" si="25"/>
        <v>2676.8980000000001</v>
      </c>
      <c r="W54" s="55">
        <f t="shared" si="25"/>
        <v>2676.8980000000001</v>
      </c>
      <c r="X54" s="55">
        <f t="shared" si="25"/>
        <v>2676.8980000000001</v>
      </c>
      <c r="Y54" s="55">
        <f t="shared" si="25"/>
        <v>2676.8980000000001</v>
      </c>
      <c r="Z54" s="55">
        <f t="shared" si="25"/>
        <v>2676.8980000000001</v>
      </c>
      <c r="AA54" s="52" t="str">
        <f t="shared" si="30"/>
        <v xml:space="preserve">  -  Chopeiro III</v>
      </c>
      <c r="AB54" s="35">
        <f t="shared" si="26"/>
        <v>0</v>
      </c>
      <c r="AC54" s="35">
        <f t="shared" si="26"/>
        <v>0</v>
      </c>
      <c r="AD54" s="35">
        <f t="shared" si="26"/>
        <v>0</v>
      </c>
      <c r="AE54" s="35">
        <f t="shared" si="26"/>
        <v>0</v>
      </c>
      <c r="AF54" s="35">
        <f t="shared" si="26"/>
        <v>0</v>
      </c>
      <c r="AG54" s="35">
        <f t="shared" si="26"/>
        <v>0</v>
      </c>
      <c r="AH54" s="35">
        <f t="shared" si="26"/>
        <v>0</v>
      </c>
      <c r="AI54" s="35">
        <f t="shared" si="26"/>
        <v>0</v>
      </c>
      <c r="AJ54" s="35">
        <f t="shared" si="26"/>
        <v>0</v>
      </c>
      <c r="AK54" s="35">
        <f t="shared" si="26"/>
        <v>0</v>
      </c>
      <c r="AL54" s="35">
        <f t="shared" si="26"/>
        <v>0</v>
      </c>
      <c r="AM54" s="36">
        <f t="shared" si="26"/>
        <v>0</v>
      </c>
      <c r="AN54" s="33" t="str">
        <f t="shared" si="31"/>
        <v xml:space="preserve">  -  Chopeiro III</v>
      </c>
      <c r="AO54" s="37">
        <f t="shared" si="32"/>
        <v>0</v>
      </c>
      <c r="AP54" s="35">
        <f t="shared" si="27"/>
        <v>0</v>
      </c>
      <c r="AQ54" s="35">
        <f t="shared" si="27"/>
        <v>0</v>
      </c>
      <c r="AR54" s="35">
        <f t="shared" si="27"/>
        <v>0</v>
      </c>
      <c r="AS54" s="35">
        <f t="shared" si="27"/>
        <v>0</v>
      </c>
      <c r="AT54" s="35">
        <f t="shared" si="27"/>
        <v>0</v>
      </c>
      <c r="AU54" s="35">
        <f t="shared" si="27"/>
        <v>0</v>
      </c>
      <c r="AV54" s="35">
        <f t="shared" si="27"/>
        <v>0</v>
      </c>
      <c r="AW54" s="35">
        <f t="shared" si="27"/>
        <v>0</v>
      </c>
      <c r="AX54" s="35">
        <f t="shared" si="27"/>
        <v>0</v>
      </c>
      <c r="AY54" s="35">
        <f t="shared" si="27"/>
        <v>0</v>
      </c>
      <c r="AZ54" s="36">
        <f t="shared" si="27"/>
        <v>0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</row>
    <row r="55" spans="1:69" x14ac:dyDescent="0.3">
      <c r="A55" s="33" t="s">
        <v>80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52" t="str">
        <f t="shared" si="28"/>
        <v xml:space="preserve">  -  Chopeiro II</v>
      </c>
      <c r="O55" s="37"/>
      <c r="P55" s="35">
        <v>2149.81</v>
      </c>
      <c r="Q55" s="35">
        <v>2149.81</v>
      </c>
      <c r="R55" s="35">
        <v>2149.81</v>
      </c>
      <c r="S55" s="55">
        <f t="shared" si="29"/>
        <v>2240.1020199999998</v>
      </c>
      <c r="T55" s="55">
        <f t="shared" si="25"/>
        <v>2240.1020199999998</v>
      </c>
      <c r="U55" s="55">
        <f t="shared" si="25"/>
        <v>2240.1020199999998</v>
      </c>
      <c r="V55" s="55">
        <f t="shared" si="25"/>
        <v>2240.1020199999998</v>
      </c>
      <c r="W55" s="55">
        <f t="shared" si="25"/>
        <v>2240.1020199999998</v>
      </c>
      <c r="X55" s="55">
        <f t="shared" si="25"/>
        <v>2240.1020199999998</v>
      </c>
      <c r="Y55" s="55">
        <f t="shared" si="25"/>
        <v>2240.1020199999998</v>
      </c>
      <c r="Z55" s="55">
        <f t="shared" si="25"/>
        <v>2240.1020199999998</v>
      </c>
      <c r="AA55" s="52" t="str">
        <f t="shared" si="30"/>
        <v xml:space="preserve">  -  Chopeiro II</v>
      </c>
      <c r="AB55" s="35">
        <f t="shared" si="26"/>
        <v>0</v>
      </c>
      <c r="AC55" s="35">
        <f t="shared" si="26"/>
        <v>0</v>
      </c>
      <c r="AD55" s="35">
        <f t="shared" si="26"/>
        <v>0</v>
      </c>
      <c r="AE55" s="35">
        <f t="shared" si="26"/>
        <v>0</v>
      </c>
      <c r="AF55" s="35">
        <f t="shared" si="26"/>
        <v>0</v>
      </c>
      <c r="AG55" s="35">
        <f t="shared" si="26"/>
        <v>0</v>
      </c>
      <c r="AH55" s="35">
        <f t="shared" si="26"/>
        <v>0</v>
      </c>
      <c r="AI55" s="35">
        <f t="shared" si="26"/>
        <v>0</v>
      </c>
      <c r="AJ55" s="35">
        <f t="shared" si="26"/>
        <v>0</v>
      </c>
      <c r="AK55" s="35">
        <f t="shared" si="26"/>
        <v>0</v>
      </c>
      <c r="AL55" s="35">
        <f t="shared" si="26"/>
        <v>0</v>
      </c>
      <c r="AM55" s="36">
        <f t="shared" si="26"/>
        <v>0</v>
      </c>
      <c r="AN55" s="33" t="str">
        <f t="shared" si="31"/>
        <v xml:space="preserve">  -  Chopeiro II</v>
      </c>
      <c r="AO55" s="37">
        <f t="shared" si="32"/>
        <v>0</v>
      </c>
      <c r="AP55" s="35">
        <f t="shared" si="27"/>
        <v>0</v>
      </c>
      <c r="AQ55" s="35">
        <f t="shared" si="27"/>
        <v>0</v>
      </c>
      <c r="AR55" s="35">
        <f t="shared" si="27"/>
        <v>0</v>
      </c>
      <c r="AS55" s="35">
        <f t="shared" si="27"/>
        <v>0</v>
      </c>
      <c r="AT55" s="35">
        <f t="shared" si="27"/>
        <v>0</v>
      </c>
      <c r="AU55" s="35">
        <f t="shared" si="27"/>
        <v>0</v>
      </c>
      <c r="AV55" s="35">
        <f t="shared" si="27"/>
        <v>0</v>
      </c>
      <c r="AW55" s="35">
        <f t="shared" si="27"/>
        <v>0</v>
      </c>
      <c r="AX55" s="35">
        <f t="shared" si="27"/>
        <v>0</v>
      </c>
      <c r="AY55" s="35">
        <f t="shared" si="27"/>
        <v>0</v>
      </c>
      <c r="AZ55" s="36">
        <f t="shared" si="27"/>
        <v>0</v>
      </c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</row>
    <row r="56" spans="1:69" x14ac:dyDescent="0.3">
      <c r="A56" s="33" t="s">
        <v>81</v>
      </c>
      <c r="B56" s="34">
        <v>1</v>
      </c>
      <c r="C56" s="34">
        <v>1</v>
      </c>
      <c r="D56" s="34">
        <v>1</v>
      </c>
      <c r="E56" s="34">
        <v>1</v>
      </c>
      <c r="F56" s="34">
        <v>1</v>
      </c>
      <c r="G56" s="34">
        <v>1</v>
      </c>
      <c r="H56" s="34">
        <v>1</v>
      </c>
      <c r="I56" s="34">
        <v>1</v>
      </c>
      <c r="J56" s="34">
        <v>1</v>
      </c>
      <c r="K56" s="34">
        <v>1</v>
      </c>
      <c r="L56" s="34">
        <v>1</v>
      </c>
      <c r="M56" s="34">
        <v>1</v>
      </c>
      <c r="N56" s="52" t="str">
        <f t="shared" si="28"/>
        <v xml:space="preserve">  -  Chopeiro I</v>
      </c>
      <c r="O56" s="37">
        <v>2000</v>
      </c>
      <c r="P56" s="35">
        <v>1938.56</v>
      </c>
      <c r="Q56" s="35">
        <v>1938.56</v>
      </c>
      <c r="R56" s="35">
        <v>1938.56</v>
      </c>
      <c r="S56" s="55">
        <f t="shared" si="29"/>
        <v>2019.9795199999999</v>
      </c>
      <c r="T56" s="55">
        <f t="shared" si="29"/>
        <v>2019.9795199999999</v>
      </c>
      <c r="U56" s="55">
        <f t="shared" si="29"/>
        <v>2019.9795199999999</v>
      </c>
      <c r="V56" s="55">
        <f t="shared" si="29"/>
        <v>2019.9795199999999</v>
      </c>
      <c r="W56" s="55">
        <f t="shared" si="29"/>
        <v>2019.9795199999999</v>
      </c>
      <c r="X56" s="55">
        <f t="shared" si="29"/>
        <v>2019.9795199999999</v>
      </c>
      <c r="Y56" s="55">
        <f t="shared" si="29"/>
        <v>2019.9795199999999</v>
      </c>
      <c r="Z56" s="55">
        <f t="shared" si="29"/>
        <v>2019.9795199999999</v>
      </c>
      <c r="AA56" s="52" t="str">
        <f t="shared" si="30"/>
        <v xml:space="preserve">  -  Chopeiro I</v>
      </c>
      <c r="AB56" s="35">
        <f t="shared" si="26"/>
        <v>2000</v>
      </c>
      <c r="AC56" s="35">
        <f t="shared" si="26"/>
        <v>1938.56</v>
      </c>
      <c r="AD56" s="35">
        <f t="shared" si="26"/>
        <v>1938.56</v>
      </c>
      <c r="AE56" s="35">
        <f t="shared" si="26"/>
        <v>1938.56</v>
      </c>
      <c r="AF56" s="35">
        <f t="shared" si="26"/>
        <v>2019.9795199999999</v>
      </c>
      <c r="AG56" s="35">
        <f t="shared" si="26"/>
        <v>2019.9795199999999</v>
      </c>
      <c r="AH56" s="35">
        <f t="shared" si="26"/>
        <v>2019.9795199999999</v>
      </c>
      <c r="AI56" s="35">
        <f t="shared" si="26"/>
        <v>2019.9795199999999</v>
      </c>
      <c r="AJ56" s="35">
        <f t="shared" si="26"/>
        <v>2019.9795199999999</v>
      </c>
      <c r="AK56" s="35">
        <f t="shared" si="26"/>
        <v>2019.9795199999999</v>
      </c>
      <c r="AL56" s="35">
        <f t="shared" si="26"/>
        <v>2019.9795199999999</v>
      </c>
      <c r="AM56" s="36">
        <f t="shared" si="26"/>
        <v>2019.9795199999999</v>
      </c>
      <c r="AN56" s="33" t="str">
        <f t="shared" si="31"/>
        <v xml:space="preserve">  -  Chopeiro I</v>
      </c>
      <c r="AO56" s="37">
        <f t="shared" si="32"/>
        <v>-572</v>
      </c>
      <c r="AP56" s="35">
        <f t="shared" si="32"/>
        <v>-572</v>
      </c>
      <c r="AQ56" s="35">
        <f t="shared" si="32"/>
        <v>-572</v>
      </c>
      <c r="AR56" s="35">
        <f t="shared" si="32"/>
        <v>-572</v>
      </c>
      <c r="AS56" s="35">
        <f t="shared" si="32"/>
        <v>-572</v>
      </c>
      <c r="AT56" s="35">
        <f t="shared" si="32"/>
        <v>-572</v>
      </c>
      <c r="AU56" s="35">
        <f t="shared" si="32"/>
        <v>-572</v>
      </c>
      <c r="AV56" s="35">
        <f t="shared" si="32"/>
        <v>-572</v>
      </c>
      <c r="AW56" s="35">
        <f t="shared" si="32"/>
        <v>-572</v>
      </c>
      <c r="AX56" s="35">
        <f t="shared" si="32"/>
        <v>-572</v>
      </c>
      <c r="AY56" s="35">
        <f t="shared" si="32"/>
        <v>-572</v>
      </c>
      <c r="AZ56" s="36">
        <f t="shared" si="32"/>
        <v>-572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</row>
    <row r="57" spans="1:69" x14ac:dyDescent="0.3">
      <c r="A57" s="33" t="s">
        <v>82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52" t="str">
        <f t="shared" si="28"/>
        <v xml:space="preserve">  -  Sub Chefe de Cozinha</v>
      </c>
      <c r="O57" s="37"/>
      <c r="P57" s="35"/>
      <c r="Q57" s="35"/>
      <c r="R57" s="35"/>
      <c r="S57" s="55">
        <f t="shared" ref="S57:Z72" si="33">$R57+($R57*$S$39)</f>
        <v>0</v>
      </c>
      <c r="T57" s="55">
        <f t="shared" si="33"/>
        <v>0</v>
      </c>
      <c r="U57" s="55">
        <f t="shared" si="33"/>
        <v>0</v>
      </c>
      <c r="V57" s="55">
        <f t="shared" si="33"/>
        <v>0</v>
      </c>
      <c r="W57" s="55">
        <f t="shared" si="33"/>
        <v>0</v>
      </c>
      <c r="X57" s="55">
        <f t="shared" si="33"/>
        <v>0</v>
      </c>
      <c r="Y57" s="55">
        <f t="shared" si="33"/>
        <v>0</v>
      </c>
      <c r="Z57" s="55">
        <f t="shared" si="33"/>
        <v>0</v>
      </c>
      <c r="AA57" s="52" t="str">
        <f t="shared" si="30"/>
        <v xml:space="preserve">  -  Sub Chefe de Cozinha</v>
      </c>
      <c r="AB57" s="35">
        <f t="shared" si="26"/>
        <v>0</v>
      </c>
      <c r="AC57" s="35">
        <f t="shared" si="26"/>
        <v>0</v>
      </c>
      <c r="AD57" s="35">
        <f t="shared" si="26"/>
        <v>0</v>
      </c>
      <c r="AE57" s="35">
        <f t="shared" si="26"/>
        <v>0</v>
      </c>
      <c r="AF57" s="35">
        <f t="shared" si="26"/>
        <v>0</v>
      </c>
      <c r="AG57" s="35">
        <f t="shared" si="26"/>
        <v>0</v>
      </c>
      <c r="AH57" s="35">
        <f t="shared" si="26"/>
        <v>0</v>
      </c>
      <c r="AI57" s="35">
        <f t="shared" si="26"/>
        <v>0</v>
      </c>
      <c r="AJ57" s="35">
        <f t="shared" si="26"/>
        <v>0</v>
      </c>
      <c r="AK57" s="35">
        <f t="shared" si="26"/>
        <v>0</v>
      </c>
      <c r="AL57" s="35">
        <f t="shared" si="26"/>
        <v>0</v>
      </c>
      <c r="AM57" s="36">
        <f t="shared" si="26"/>
        <v>0</v>
      </c>
      <c r="AN57" s="33" t="str">
        <f t="shared" si="31"/>
        <v xml:space="preserve">  -  Sub Chefe de Cozinha</v>
      </c>
      <c r="AO57" s="37">
        <f t="shared" si="32"/>
        <v>0</v>
      </c>
      <c r="AP57" s="35">
        <f t="shared" si="32"/>
        <v>0</v>
      </c>
      <c r="AQ57" s="35">
        <f t="shared" si="32"/>
        <v>0</v>
      </c>
      <c r="AR57" s="35">
        <f t="shared" si="32"/>
        <v>0</v>
      </c>
      <c r="AS57" s="35">
        <f t="shared" si="32"/>
        <v>0</v>
      </c>
      <c r="AT57" s="35">
        <f t="shared" si="32"/>
        <v>0</v>
      </c>
      <c r="AU57" s="35">
        <f t="shared" si="32"/>
        <v>0</v>
      </c>
      <c r="AV57" s="35">
        <f t="shared" si="32"/>
        <v>0</v>
      </c>
      <c r="AW57" s="35">
        <f t="shared" si="32"/>
        <v>0</v>
      </c>
      <c r="AX57" s="35">
        <f t="shared" si="32"/>
        <v>0</v>
      </c>
      <c r="AY57" s="35">
        <f t="shared" si="32"/>
        <v>0</v>
      </c>
      <c r="AZ57" s="36">
        <f t="shared" si="32"/>
        <v>0</v>
      </c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</row>
    <row r="58" spans="1:69" x14ac:dyDescent="0.3">
      <c r="A58" s="33" t="s">
        <v>83</v>
      </c>
      <c r="B58" s="34">
        <v>1</v>
      </c>
      <c r="C58" s="34">
        <v>1</v>
      </c>
      <c r="D58" s="34">
        <v>1</v>
      </c>
      <c r="E58" s="34">
        <v>1</v>
      </c>
      <c r="F58" s="34">
        <v>1</v>
      </c>
      <c r="G58" s="34">
        <v>1</v>
      </c>
      <c r="H58" s="34">
        <v>1</v>
      </c>
      <c r="I58" s="34">
        <v>1</v>
      </c>
      <c r="J58" s="34">
        <v>1</v>
      </c>
      <c r="K58" s="34">
        <v>1</v>
      </c>
      <c r="L58" s="34">
        <v>1</v>
      </c>
      <c r="M58" s="34">
        <v>1</v>
      </c>
      <c r="N58" s="52" t="str">
        <f t="shared" si="28"/>
        <v xml:space="preserve">  -  Cozinheiro Líder</v>
      </c>
      <c r="O58" s="37">
        <v>2500</v>
      </c>
      <c r="P58" s="35">
        <v>3067</v>
      </c>
      <c r="Q58" s="35">
        <v>3067</v>
      </c>
      <c r="R58" s="35">
        <v>3067</v>
      </c>
      <c r="S58" s="55">
        <f t="shared" si="33"/>
        <v>3195.8139999999999</v>
      </c>
      <c r="T58" s="55">
        <f t="shared" si="33"/>
        <v>3195.8139999999999</v>
      </c>
      <c r="U58" s="55">
        <f t="shared" si="33"/>
        <v>3195.8139999999999</v>
      </c>
      <c r="V58" s="55">
        <f t="shared" si="33"/>
        <v>3195.8139999999999</v>
      </c>
      <c r="W58" s="55">
        <f t="shared" si="33"/>
        <v>3195.8139999999999</v>
      </c>
      <c r="X58" s="55">
        <f t="shared" si="33"/>
        <v>3195.8139999999999</v>
      </c>
      <c r="Y58" s="55">
        <f t="shared" si="33"/>
        <v>3195.8139999999999</v>
      </c>
      <c r="Z58" s="55">
        <f t="shared" si="33"/>
        <v>3195.8139999999999</v>
      </c>
      <c r="AA58" s="52" t="str">
        <f t="shared" si="30"/>
        <v xml:space="preserve">  -  Cozinheiro Líder</v>
      </c>
      <c r="AB58" s="35">
        <f t="shared" si="26"/>
        <v>2500</v>
      </c>
      <c r="AC58" s="35">
        <f t="shared" si="26"/>
        <v>3067</v>
      </c>
      <c r="AD58" s="35">
        <f t="shared" si="26"/>
        <v>3067</v>
      </c>
      <c r="AE58" s="35">
        <f t="shared" si="26"/>
        <v>3067</v>
      </c>
      <c r="AF58" s="35">
        <f t="shared" si="26"/>
        <v>3195.8139999999999</v>
      </c>
      <c r="AG58" s="35">
        <f t="shared" si="26"/>
        <v>3195.8139999999999</v>
      </c>
      <c r="AH58" s="35">
        <f t="shared" si="26"/>
        <v>3195.8139999999999</v>
      </c>
      <c r="AI58" s="35">
        <f t="shared" si="26"/>
        <v>3195.8139999999999</v>
      </c>
      <c r="AJ58" s="35">
        <f t="shared" si="26"/>
        <v>3195.8139999999999</v>
      </c>
      <c r="AK58" s="35">
        <f t="shared" si="26"/>
        <v>3195.8139999999999</v>
      </c>
      <c r="AL58" s="35">
        <f t="shared" si="26"/>
        <v>3195.8139999999999</v>
      </c>
      <c r="AM58" s="36">
        <f t="shared" si="26"/>
        <v>3195.8139999999999</v>
      </c>
      <c r="AN58" s="33" t="str">
        <f t="shared" si="31"/>
        <v xml:space="preserve">  -  Cozinheiro Líder</v>
      </c>
      <c r="AO58" s="37">
        <f t="shared" si="32"/>
        <v>-572</v>
      </c>
      <c r="AP58" s="35">
        <f t="shared" si="32"/>
        <v>-572</v>
      </c>
      <c r="AQ58" s="35">
        <f t="shared" si="32"/>
        <v>-572</v>
      </c>
      <c r="AR58" s="35">
        <f t="shared" si="32"/>
        <v>-572</v>
      </c>
      <c r="AS58" s="35">
        <f t="shared" si="32"/>
        <v>-572</v>
      </c>
      <c r="AT58" s="35">
        <f t="shared" si="32"/>
        <v>-572</v>
      </c>
      <c r="AU58" s="35">
        <f t="shared" si="32"/>
        <v>-572</v>
      </c>
      <c r="AV58" s="35">
        <f t="shared" si="32"/>
        <v>-572</v>
      </c>
      <c r="AW58" s="35">
        <f t="shared" si="32"/>
        <v>-572</v>
      </c>
      <c r="AX58" s="35">
        <f t="shared" si="32"/>
        <v>-572</v>
      </c>
      <c r="AY58" s="35">
        <f t="shared" si="32"/>
        <v>-572</v>
      </c>
      <c r="AZ58" s="36">
        <f t="shared" si="32"/>
        <v>-572</v>
      </c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</row>
    <row r="59" spans="1:69" x14ac:dyDescent="0.3">
      <c r="A59" s="33" t="s">
        <v>84</v>
      </c>
      <c r="B59" s="34">
        <v>5</v>
      </c>
      <c r="C59" s="34">
        <v>5</v>
      </c>
      <c r="D59" s="34">
        <v>5</v>
      </c>
      <c r="E59" s="34">
        <v>5</v>
      </c>
      <c r="F59" s="34">
        <v>5</v>
      </c>
      <c r="G59" s="34">
        <v>5</v>
      </c>
      <c r="H59" s="34">
        <v>5</v>
      </c>
      <c r="I59" s="34">
        <v>5</v>
      </c>
      <c r="J59" s="34">
        <v>5</v>
      </c>
      <c r="K59" s="34">
        <v>5</v>
      </c>
      <c r="L59" s="34">
        <v>5</v>
      </c>
      <c r="M59" s="34">
        <v>5</v>
      </c>
      <c r="N59" s="52" t="str">
        <f t="shared" si="28"/>
        <v xml:space="preserve">  -  Cozinheiro III</v>
      </c>
      <c r="O59" s="37">
        <v>2000</v>
      </c>
      <c r="P59" s="35">
        <v>2569</v>
      </c>
      <c r="Q59" s="35">
        <v>2569</v>
      </c>
      <c r="R59" s="35">
        <v>2569</v>
      </c>
      <c r="S59" s="55">
        <f t="shared" si="33"/>
        <v>2676.8980000000001</v>
      </c>
      <c r="T59" s="55">
        <f t="shared" si="33"/>
        <v>2676.8980000000001</v>
      </c>
      <c r="U59" s="55">
        <f t="shared" si="33"/>
        <v>2676.8980000000001</v>
      </c>
      <c r="V59" s="55">
        <f t="shared" si="33"/>
        <v>2676.8980000000001</v>
      </c>
      <c r="W59" s="55">
        <f t="shared" si="33"/>
        <v>2676.8980000000001</v>
      </c>
      <c r="X59" s="55">
        <f t="shared" si="33"/>
        <v>2676.8980000000001</v>
      </c>
      <c r="Y59" s="55">
        <f t="shared" si="33"/>
        <v>2676.8980000000001</v>
      </c>
      <c r="Z59" s="55">
        <f t="shared" si="33"/>
        <v>2676.8980000000001</v>
      </c>
      <c r="AA59" s="52" t="str">
        <f t="shared" si="30"/>
        <v xml:space="preserve">  -  Cozinheiro III</v>
      </c>
      <c r="AB59" s="35">
        <f t="shared" si="26"/>
        <v>10000</v>
      </c>
      <c r="AC59" s="35">
        <f t="shared" si="26"/>
        <v>12845</v>
      </c>
      <c r="AD59" s="35">
        <f t="shared" si="26"/>
        <v>12845</v>
      </c>
      <c r="AE59" s="35">
        <f t="shared" si="26"/>
        <v>12845</v>
      </c>
      <c r="AF59" s="35">
        <f t="shared" si="26"/>
        <v>13384.490000000002</v>
      </c>
      <c r="AG59" s="35">
        <f t="shared" si="26"/>
        <v>13384.490000000002</v>
      </c>
      <c r="AH59" s="35">
        <f t="shared" si="26"/>
        <v>13384.490000000002</v>
      </c>
      <c r="AI59" s="35">
        <f t="shared" si="26"/>
        <v>13384.490000000002</v>
      </c>
      <c r="AJ59" s="35">
        <f t="shared" si="26"/>
        <v>13384.490000000002</v>
      </c>
      <c r="AK59" s="35">
        <f t="shared" si="26"/>
        <v>13384.490000000002</v>
      </c>
      <c r="AL59" s="35">
        <f t="shared" si="26"/>
        <v>13384.490000000002</v>
      </c>
      <c r="AM59" s="36">
        <f t="shared" si="26"/>
        <v>13384.490000000002</v>
      </c>
      <c r="AN59" s="33" t="str">
        <f t="shared" si="31"/>
        <v xml:space="preserve">  -  Cozinheiro III</v>
      </c>
      <c r="AO59" s="37">
        <f t="shared" si="32"/>
        <v>-2860</v>
      </c>
      <c r="AP59" s="35">
        <f t="shared" si="32"/>
        <v>-2860</v>
      </c>
      <c r="AQ59" s="35">
        <f t="shared" si="32"/>
        <v>-2860</v>
      </c>
      <c r="AR59" s="35">
        <f t="shared" si="32"/>
        <v>-2860</v>
      </c>
      <c r="AS59" s="35">
        <f t="shared" si="32"/>
        <v>-2860</v>
      </c>
      <c r="AT59" s="35">
        <f t="shared" si="32"/>
        <v>-2860</v>
      </c>
      <c r="AU59" s="35">
        <f t="shared" si="32"/>
        <v>-2860</v>
      </c>
      <c r="AV59" s="35">
        <f t="shared" si="32"/>
        <v>-2860</v>
      </c>
      <c r="AW59" s="35">
        <f t="shared" si="32"/>
        <v>-2860</v>
      </c>
      <c r="AX59" s="35">
        <f t="shared" si="32"/>
        <v>-2860</v>
      </c>
      <c r="AY59" s="35">
        <f t="shared" si="32"/>
        <v>-2860</v>
      </c>
      <c r="AZ59" s="36">
        <f t="shared" si="32"/>
        <v>-2860</v>
      </c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</row>
    <row r="60" spans="1:69" x14ac:dyDescent="0.3">
      <c r="A60" s="33" t="s">
        <v>85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52" t="str">
        <f t="shared" si="28"/>
        <v xml:space="preserve">  -  Cozinheiro II</v>
      </c>
      <c r="O60" s="37"/>
      <c r="P60" s="35">
        <v>1938.56</v>
      </c>
      <c r="Q60" s="35">
        <v>1938.56</v>
      </c>
      <c r="R60" s="35">
        <v>1938.56</v>
      </c>
      <c r="S60" s="55">
        <f t="shared" si="33"/>
        <v>2019.9795199999999</v>
      </c>
      <c r="T60" s="55">
        <f t="shared" si="33"/>
        <v>2019.9795199999999</v>
      </c>
      <c r="U60" s="55">
        <f t="shared" si="33"/>
        <v>2019.9795199999999</v>
      </c>
      <c r="V60" s="55">
        <f t="shared" si="33"/>
        <v>2019.9795199999999</v>
      </c>
      <c r="W60" s="55">
        <f t="shared" si="33"/>
        <v>2019.9795199999999</v>
      </c>
      <c r="X60" s="55">
        <f t="shared" si="33"/>
        <v>2019.9795199999999</v>
      </c>
      <c r="Y60" s="55">
        <f t="shared" si="33"/>
        <v>2019.9795199999999</v>
      </c>
      <c r="Z60" s="55">
        <f t="shared" si="33"/>
        <v>2019.9795199999999</v>
      </c>
      <c r="AA60" s="52" t="str">
        <f t="shared" si="30"/>
        <v xml:space="preserve">  -  Cozinheiro II</v>
      </c>
      <c r="AB60" s="35">
        <f t="shared" si="26"/>
        <v>0</v>
      </c>
      <c r="AC60" s="35">
        <f t="shared" si="26"/>
        <v>0</v>
      </c>
      <c r="AD60" s="35">
        <f t="shared" si="26"/>
        <v>0</v>
      </c>
      <c r="AE60" s="35">
        <f t="shared" si="26"/>
        <v>0</v>
      </c>
      <c r="AF60" s="35">
        <f t="shared" si="26"/>
        <v>0</v>
      </c>
      <c r="AG60" s="35">
        <f t="shared" si="26"/>
        <v>0</v>
      </c>
      <c r="AH60" s="35">
        <f t="shared" si="26"/>
        <v>0</v>
      </c>
      <c r="AI60" s="35">
        <f t="shared" si="26"/>
        <v>0</v>
      </c>
      <c r="AJ60" s="35">
        <f t="shared" si="26"/>
        <v>0</v>
      </c>
      <c r="AK60" s="35">
        <f t="shared" si="26"/>
        <v>0</v>
      </c>
      <c r="AL60" s="35">
        <f t="shared" si="26"/>
        <v>0</v>
      </c>
      <c r="AM60" s="36">
        <f t="shared" si="26"/>
        <v>0</v>
      </c>
      <c r="AN60" s="33" t="str">
        <f t="shared" si="31"/>
        <v xml:space="preserve">  -  Cozinheiro II</v>
      </c>
      <c r="AO60" s="37">
        <f t="shared" si="32"/>
        <v>0</v>
      </c>
      <c r="AP60" s="35">
        <f t="shared" si="32"/>
        <v>0</v>
      </c>
      <c r="AQ60" s="35">
        <f t="shared" si="32"/>
        <v>0</v>
      </c>
      <c r="AR60" s="35">
        <f t="shared" si="32"/>
        <v>0</v>
      </c>
      <c r="AS60" s="35">
        <f t="shared" si="32"/>
        <v>0</v>
      </c>
      <c r="AT60" s="35">
        <f t="shared" si="32"/>
        <v>0</v>
      </c>
      <c r="AU60" s="35">
        <f t="shared" si="32"/>
        <v>0</v>
      </c>
      <c r="AV60" s="35">
        <f t="shared" si="32"/>
        <v>0</v>
      </c>
      <c r="AW60" s="35">
        <f t="shared" si="32"/>
        <v>0</v>
      </c>
      <c r="AX60" s="35">
        <f t="shared" si="32"/>
        <v>0</v>
      </c>
      <c r="AY60" s="35">
        <f t="shared" si="32"/>
        <v>0</v>
      </c>
      <c r="AZ60" s="36">
        <f t="shared" si="32"/>
        <v>0</v>
      </c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</row>
    <row r="61" spans="1:69" x14ac:dyDescent="0.3">
      <c r="A61" s="33" t="s">
        <v>86</v>
      </c>
      <c r="B61" s="34">
        <v>10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52" t="str">
        <f t="shared" si="28"/>
        <v xml:space="preserve">  -  Cozinheiro I</v>
      </c>
      <c r="O61" s="37">
        <v>1400</v>
      </c>
      <c r="P61" s="35">
        <v>1869.4</v>
      </c>
      <c r="Q61" s="35">
        <v>1869.4</v>
      </c>
      <c r="R61" s="35">
        <v>1869.4</v>
      </c>
      <c r="S61" s="55">
        <f t="shared" si="33"/>
        <v>1947.9148</v>
      </c>
      <c r="T61" s="55">
        <f t="shared" si="33"/>
        <v>1947.9148</v>
      </c>
      <c r="U61" s="55">
        <f t="shared" si="33"/>
        <v>1947.9148</v>
      </c>
      <c r="V61" s="55">
        <f t="shared" si="33"/>
        <v>1947.9148</v>
      </c>
      <c r="W61" s="55">
        <f t="shared" si="33"/>
        <v>1947.9148</v>
      </c>
      <c r="X61" s="55">
        <f t="shared" si="33"/>
        <v>1947.9148</v>
      </c>
      <c r="Y61" s="55">
        <f t="shared" si="33"/>
        <v>1947.9148</v>
      </c>
      <c r="Z61" s="55">
        <f t="shared" si="33"/>
        <v>1947.9148</v>
      </c>
      <c r="AA61" s="52" t="str">
        <f t="shared" si="30"/>
        <v xml:space="preserve">  -  Cozinheiro I</v>
      </c>
      <c r="AB61" s="35">
        <f t="shared" si="26"/>
        <v>14000</v>
      </c>
      <c r="AC61" s="35">
        <f t="shared" si="26"/>
        <v>0</v>
      </c>
      <c r="AD61" s="35">
        <f t="shared" si="26"/>
        <v>0</v>
      </c>
      <c r="AE61" s="35">
        <f t="shared" ref="AE61:AM91" si="34">R61*E61</f>
        <v>0</v>
      </c>
      <c r="AF61" s="35">
        <f t="shared" si="34"/>
        <v>0</v>
      </c>
      <c r="AG61" s="35">
        <f t="shared" si="34"/>
        <v>0</v>
      </c>
      <c r="AH61" s="35">
        <f t="shared" si="34"/>
        <v>0</v>
      </c>
      <c r="AI61" s="35">
        <f t="shared" si="34"/>
        <v>0</v>
      </c>
      <c r="AJ61" s="35">
        <f t="shared" si="34"/>
        <v>0</v>
      </c>
      <c r="AK61" s="35">
        <f t="shared" si="34"/>
        <v>0</v>
      </c>
      <c r="AL61" s="35">
        <f t="shared" si="34"/>
        <v>0</v>
      </c>
      <c r="AM61" s="36">
        <f t="shared" si="34"/>
        <v>0</v>
      </c>
      <c r="AN61" s="33" t="str">
        <f t="shared" si="31"/>
        <v xml:space="preserve">  -  Cozinheiro I</v>
      </c>
      <c r="AO61" s="37">
        <f t="shared" si="32"/>
        <v>-5720</v>
      </c>
      <c r="AP61" s="35">
        <f t="shared" si="32"/>
        <v>0</v>
      </c>
      <c r="AQ61" s="35">
        <f t="shared" si="32"/>
        <v>0</v>
      </c>
      <c r="AR61" s="35">
        <f t="shared" si="32"/>
        <v>0</v>
      </c>
      <c r="AS61" s="35">
        <f t="shared" si="32"/>
        <v>0</v>
      </c>
      <c r="AT61" s="35">
        <f t="shared" si="32"/>
        <v>0</v>
      </c>
      <c r="AU61" s="35">
        <f t="shared" si="32"/>
        <v>0</v>
      </c>
      <c r="AV61" s="35">
        <f t="shared" si="32"/>
        <v>0</v>
      </c>
      <c r="AW61" s="35">
        <f t="shared" si="32"/>
        <v>0</v>
      </c>
      <c r="AX61" s="35">
        <f t="shared" si="32"/>
        <v>0</v>
      </c>
      <c r="AY61" s="35">
        <f t="shared" si="32"/>
        <v>0</v>
      </c>
      <c r="AZ61" s="36">
        <f t="shared" si="32"/>
        <v>0</v>
      </c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</row>
    <row r="62" spans="1:69" x14ac:dyDescent="0.3">
      <c r="A62" s="33" t="s">
        <v>87</v>
      </c>
      <c r="B62" s="34"/>
      <c r="C62" s="34">
        <v>10</v>
      </c>
      <c r="D62" s="34">
        <v>10</v>
      </c>
      <c r="E62" s="34">
        <v>10</v>
      </c>
      <c r="F62" s="34">
        <v>10</v>
      </c>
      <c r="G62" s="34">
        <v>10</v>
      </c>
      <c r="H62" s="34">
        <v>10</v>
      </c>
      <c r="I62" s="34">
        <v>10</v>
      </c>
      <c r="J62" s="34">
        <v>10</v>
      </c>
      <c r="K62" s="34">
        <v>10</v>
      </c>
      <c r="L62" s="34">
        <v>10</v>
      </c>
      <c r="M62" s="34">
        <v>10</v>
      </c>
      <c r="N62" s="52" t="str">
        <f t="shared" si="28"/>
        <v xml:space="preserve">  -  Ajud cozinha</v>
      </c>
      <c r="O62" s="37">
        <v>1400</v>
      </c>
      <c r="P62" s="35">
        <v>1804</v>
      </c>
      <c r="Q62" s="35">
        <v>1804</v>
      </c>
      <c r="R62" s="35">
        <v>1804</v>
      </c>
      <c r="S62" s="55">
        <f t="shared" si="33"/>
        <v>1879.768</v>
      </c>
      <c r="T62" s="55">
        <f t="shared" si="33"/>
        <v>1879.768</v>
      </c>
      <c r="U62" s="55">
        <f t="shared" si="33"/>
        <v>1879.768</v>
      </c>
      <c r="V62" s="55">
        <f t="shared" si="33"/>
        <v>1879.768</v>
      </c>
      <c r="W62" s="55">
        <f t="shared" si="33"/>
        <v>1879.768</v>
      </c>
      <c r="X62" s="55">
        <f t="shared" si="33"/>
        <v>1879.768</v>
      </c>
      <c r="Y62" s="55">
        <f t="shared" si="33"/>
        <v>1879.768</v>
      </c>
      <c r="Z62" s="55">
        <f t="shared" si="33"/>
        <v>1879.768</v>
      </c>
      <c r="AA62" s="52" t="str">
        <f t="shared" si="30"/>
        <v xml:space="preserve">  -  Ajud cozinha</v>
      </c>
      <c r="AB62" s="35">
        <f t="shared" ref="AB62:AG96" si="35">O62*B62</f>
        <v>0</v>
      </c>
      <c r="AC62" s="35">
        <f t="shared" si="35"/>
        <v>18040</v>
      </c>
      <c r="AD62" s="35">
        <f t="shared" si="35"/>
        <v>18040</v>
      </c>
      <c r="AE62" s="35">
        <f t="shared" si="34"/>
        <v>18040</v>
      </c>
      <c r="AF62" s="35">
        <f t="shared" si="34"/>
        <v>18797.68</v>
      </c>
      <c r="AG62" s="35">
        <f t="shared" si="34"/>
        <v>18797.68</v>
      </c>
      <c r="AH62" s="35">
        <f t="shared" si="34"/>
        <v>18797.68</v>
      </c>
      <c r="AI62" s="35">
        <f t="shared" si="34"/>
        <v>18797.68</v>
      </c>
      <c r="AJ62" s="35">
        <f t="shared" si="34"/>
        <v>18797.68</v>
      </c>
      <c r="AK62" s="35">
        <f t="shared" si="34"/>
        <v>18797.68</v>
      </c>
      <c r="AL62" s="35">
        <f t="shared" si="34"/>
        <v>18797.68</v>
      </c>
      <c r="AM62" s="36">
        <f t="shared" si="34"/>
        <v>18797.68</v>
      </c>
      <c r="AN62" s="33" t="str">
        <f t="shared" si="31"/>
        <v xml:space="preserve">  -  Ajud cozinha</v>
      </c>
      <c r="AO62" s="37">
        <f t="shared" si="32"/>
        <v>0</v>
      </c>
      <c r="AP62" s="35">
        <f t="shared" si="32"/>
        <v>-5720</v>
      </c>
      <c r="AQ62" s="35">
        <f t="shared" si="32"/>
        <v>-5720</v>
      </c>
      <c r="AR62" s="35">
        <f t="shared" si="32"/>
        <v>-5720</v>
      </c>
      <c r="AS62" s="35">
        <f t="shared" si="32"/>
        <v>-5720</v>
      </c>
      <c r="AT62" s="35">
        <f t="shared" si="32"/>
        <v>-5720</v>
      </c>
      <c r="AU62" s="35">
        <f t="shared" si="32"/>
        <v>-5720</v>
      </c>
      <c r="AV62" s="35">
        <f t="shared" si="32"/>
        <v>-5720</v>
      </c>
      <c r="AW62" s="35">
        <f t="shared" si="32"/>
        <v>-5720</v>
      </c>
      <c r="AX62" s="35">
        <f t="shared" si="32"/>
        <v>-5720</v>
      </c>
      <c r="AY62" s="35">
        <f t="shared" si="32"/>
        <v>-5720</v>
      </c>
      <c r="AZ62" s="36">
        <f t="shared" si="32"/>
        <v>-5720</v>
      </c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</row>
    <row r="63" spans="1:69" x14ac:dyDescent="0.3">
      <c r="A63" s="33" t="s">
        <v>88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52" t="str">
        <f t="shared" si="28"/>
        <v xml:space="preserve">  -  Saladeiro</v>
      </c>
      <c r="O63" s="37"/>
      <c r="P63" s="35"/>
      <c r="Q63" s="35"/>
      <c r="R63" s="35"/>
      <c r="S63" s="55">
        <f t="shared" si="33"/>
        <v>0</v>
      </c>
      <c r="T63" s="55">
        <f t="shared" si="33"/>
        <v>0</v>
      </c>
      <c r="U63" s="55">
        <f t="shared" si="33"/>
        <v>0</v>
      </c>
      <c r="V63" s="55">
        <f t="shared" si="33"/>
        <v>0</v>
      </c>
      <c r="W63" s="55">
        <f t="shared" si="33"/>
        <v>0</v>
      </c>
      <c r="X63" s="55">
        <f t="shared" si="33"/>
        <v>0</v>
      </c>
      <c r="Y63" s="55">
        <f t="shared" si="33"/>
        <v>0</v>
      </c>
      <c r="Z63" s="55">
        <f t="shared" si="33"/>
        <v>0</v>
      </c>
      <c r="AA63" s="52" t="str">
        <f t="shared" si="30"/>
        <v xml:space="preserve">  -  Saladeiro</v>
      </c>
      <c r="AB63" s="35">
        <f t="shared" si="35"/>
        <v>0</v>
      </c>
      <c r="AC63" s="35">
        <f t="shared" si="35"/>
        <v>0</v>
      </c>
      <c r="AD63" s="35">
        <f t="shared" si="35"/>
        <v>0</v>
      </c>
      <c r="AE63" s="35">
        <f t="shared" si="34"/>
        <v>0</v>
      </c>
      <c r="AF63" s="35">
        <f t="shared" si="34"/>
        <v>0</v>
      </c>
      <c r="AG63" s="35">
        <f t="shared" si="34"/>
        <v>0</v>
      </c>
      <c r="AH63" s="35">
        <f t="shared" si="34"/>
        <v>0</v>
      </c>
      <c r="AI63" s="35">
        <f t="shared" si="34"/>
        <v>0</v>
      </c>
      <c r="AJ63" s="35">
        <f t="shared" si="34"/>
        <v>0</v>
      </c>
      <c r="AK63" s="35">
        <f t="shared" si="34"/>
        <v>0</v>
      </c>
      <c r="AL63" s="35">
        <f t="shared" si="34"/>
        <v>0</v>
      </c>
      <c r="AM63" s="36">
        <f t="shared" si="34"/>
        <v>0</v>
      </c>
      <c r="AN63" s="33" t="str">
        <f t="shared" si="31"/>
        <v xml:space="preserve">  -  Saladeiro</v>
      </c>
      <c r="AO63" s="37">
        <f t="shared" si="32"/>
        <v>0</v>
      </c>
      <c r="AP63" s="35">
        <f t="shared" si="32"/>
        <v>0</v>
      </c>
      <c r="AQ63" s="35">
        <f t="shared" si="32"/>
        <v>0</v>
      </c>
      <c r="AR63" s="35">
        <f t="shared" si="32"/>
        <v>0</v>
      </c>
      <c r="AS63" s="35">
        <f t="shared" si="32"/>
        <v>0</v>
      </c>
      <c r="AT63" s="35">
        <f t="shared" si="32"/>
        <v>0</v>
      </c>
      <c r="AU63" s="35">
        <f t="shared" si="32"/>
        <v>0</v>
      </c>
      <c r="AV63" s="35">
        <f t="shared" si="32"/>
        <v>0</v>
      </c>
      <c r="AW63" s="35">
        <f t="shared" si="32"/>
        <v>0</v>
      </c>
      <c r="AX63" s="35">
        <f t="shared" si="32"/>
        <v>0</v>
      </c>
      <c r="AY63" s="35">
        <f t="shared" si="32"/>
        <v>0</v>
      </c>
      <c r="AZ63" s="36">
        <f t="shared" si="32"/>
        <v>0</v>
      </c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</row>
    <row r="64" spans="1:69" x14ac:dyDescent="0.3">
      <c r="A64" s="33" t="s">
        <v>89</v>
      </c>
      <c r="B64" s="34">
        <v>1</v>
      </c>
      <c r="C64" s="34">
        <v>1</v>
      </c>
      <c r="D64" s="34">
        <v>1</v>
      </c>
      <c r="E64" s="34">
        <v>1</v>
      </c>
      <c r="F64" s="34">
        <v>1</v>
      </c>
      <c r="G64" s="34">
        <v>1</v>
      </c>
      <c r="H64" s="34">
        <v>1</v>
      </c>
      <c r="I64" s="34">
        <v>1</v>
      </c>
      <c r="J64" s="34">
        <v>1</v>
      </c>
      <c r="K64" s="34">
        <v>1</v>
      </c>
      <c r="L64" s="34">
        <v>1</v>
      </c>
      <c r="M64" s="34">
        <v>1</v>
      </c>
      <c r="N64" s="52" t="str">
        <f t="shared" si="28"/>
        <v xml:space="preserve">  -  Pia</v>
      </c>
      <c r="O64" s="37"/>
      <c r="P64" s="35">
        <v>1804</v>
      </c>
      <c r="Q64" s="35">
        <v>1804</v>
      </c>
      <c r="R64" s="35">
        <v>1804</v>
      </c>
      <c r="S64" s="55">
        <f t="shared" si="33"/>
        <v>1879.768</v>
      </c>
      <c r="T64" s="55">
        <f t="shared" si="33"/>
        <v>1879.768</v>
      </c>
      <c r="U64" s="55">
        <f t="shared" si="33"/>
        <v>1879.768</v>
      </c>
      <c r="V64" s="55">
        <f t="shared" si="33"/>
        <v>1879.768</v>
      </c>
      <c r="W64" s="55">
        <f t="shared" si="33"/>
        <v>1879.768</v>
      </c>
      <c r="X64" s="55">
        <f t="shared" si="33"/>
        <v>1879.768</v>
      </c>
      <c r="Y64" s="55">
        <f t="shared" si="33"/>
        <v>1879.768</v>
      </c>
      <c r="Z64" s="55">
        <f t="shared" si="33"/>
        <v>1879.768</v>
      </c>
      <c r="AA64" s="52" t="str">
        <f t="shared" si="30"/>
        <v xml:space="preserve">  -  Pia</v>
      </c>
      <c r="AB64" s="35">
        <f t="shared" si="35"/>
        <v>0</v>
      </c>
      <c r="AC64" s="35">
        <f t="shared" si="35"/>
        <v>1804</v>
      </c>
      <c r="AD64" s="35">
        <f t="shared" si="35"/>
        <v>1804</v>
      </c>
      <c r="AE64" s="35">
        <f t="shared" si="34"/>
        <v>1804</v>
      </c>
      <c r="AF64" s="35">
        <f t="shared" si="34"/>
        <v>1879.768</v>
      </c>
      <c r="AG64" s="35">
        <f t="shared" si="34"/>
        <v>1879.768</v>
      </c>
      <c r="AH64" s="35">
        <f t="shared" si="34"/>
        <v>1879.768</v>
      </c>
      <c r="AI64" s="35">
        <f t="shared" si="34"/>
        <v>1879.768</v>
      </c>
      <c r="AJ64" s="35">
        <f t="shared" si="34"/>
        <v>1879.768</v>
      </c>
      <c r="AK64" s="35">
        <f t="shared" si="34"/>
        <v>1879.768</v>
      </c>
      <c r="AL64" s="35">
        <f t="shared" si="34"/>
        <v>1879.768</v>
      </c>
      <c r="AM64" s="36">
        <f t="shared" si="34"/>
        <v>1879.768</v>
      </c>
      <c r="AN64" s="33" t="str">
        <f t="shared" si="31"/>
        <v xml:space="preserve">  -  Pia</v>
      </c>
      <c r="AO64" s="37">
        <f t="shared" si="32"/>
        <v>-572</v>
      </c>
      <c r="AP64" s="35">
        <f t="shared" si="32"/>
        <v>-572</v>
      </c>
      <c r="AQ64" s="35">
        <f t="shared" si="32"/>
        <v>-572</v>
      </c>
      <c r="AR64" s="35">
        <f t="shared" si="32"/>
        <v>-572</v>
      </c>
      <c r="AS64" s="35">
        <f t="shared" si="32"/>
        <v>-572</v>
      </c>
      <c r="AT64" s="35">
        <f t="shared" si="32"/>
        <v>-572</v>
      </c>
      <c r="AU64" s="35">
        <f t="shared" si="32"/>
        <v>-572</v>
      </c>
      <c r="AV64" s="35">
        <f t="shared" si="32"/>
        <v>-572</v>
      </c>
      <c r="AW64" s="35">
        <f t="shared" si="32"/>
        <v>-572</v>
      </c>
      <c r="AX64" s="35">
        <f t="shared" si="32"/>
        <v>-572</v>
      </c>
      <c r="AY64" s="35">
        <f t="shared" si="32"/>
        <v>-572</v>
      </c>
      <c r="AZ64" s="36">
        <f t="shared" si="32"/>
        <v>-572</v>
      </c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</row>
    <row r="65" spans="1:69" x14ac:dyDescent="0.3">
      <c r="A65" s="33" t="s">
        <v>90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52" t="str">
        <f t="shared" si="28"/>
        <v xml:space="preserve">  -  Sub Chefe de Confeitaria</v>
      </c>
      <c r="O65" s="37"/>
      <c r="P65" s="35"/>
      <c r="Q65" s="35"/>
      <c r="R65" s="35"/>
      <c r="S65" s="55">
        <f t="shared" si="33"/>
        <v>0</v>
      </c>
      <c r="T65" s="55">
        <f t="shared" si="33"/>
        <v>0</v>
      </c>
      <c r="U65" s="55">
        <f t="shared" si="33"/>
        <v>0</v>
      </c>
      <c r="V65" s="55">
        <f t="shared" si="33"/>
        <v>0</v>
      </c>
      <c r="W65" s="55">
        <f t="shared" si="33"/>
        <v>0</v>
      </c>
      <c r="X65" s="55">
        <f t="shared" si="33"/>
        <v>0</v>
      </c>
      <c r="Y65" s="55">
        <f t="shared" si="33"/>
        <v>0</v>
      </c>
      <c r="Z65" s="55">
        <f t="shared" si="33"/>
        <v>0</v>
      </c>
      <c r="AA65" s="52" t="str">
        <f t="shared" si="30"/>
        <v xml:space="preserve">  -  Sub Chefe de Confeitaria</v>
      </c>
      <c r="AB65" s="35">
        <f t="shared" si="35"/>
        <v>0</v>
      </c>
      <c r="AC65" s="35">
        <f t="shared" si="35"/>
        <v>0</v>
      </c>
      <c r="AD65" s="35">
        <f t="shared" si="35"/>
        <v>0</v>
      </c>
      <c r="AE65" s="35">
        <f t="shared" si="34"/>
        <v>0</v>
      </c>
      <c r="AF65" s="35">
        <f t="shared" si="34"/>
        <v>0</v>
      </c>
      <c r="AG65" s="35">
        <f t="shared" si="34"/>
        <v>0</v>
      </c>
      <c r="AH65" s="35">
        <f t="shared" si="34"/>
        <v>0</v>
      </c>
      <c r="AI65" s="35">
        <f t="shared" si="34"/>
        <v>0</v>
      </c>
      <c r="AJ65" s="35">
        <f t="shared" si="34"/>
        <v>0</v>
      </c>
      <c r="AK65" s="35">
        <f t="shared" si="34"/>
        <v>0</v>
      </c>
      <c r="AL65" s="35">
        <f t="shared" si="34"/>
        <v>0</v>
      </c>
      <c r="AM65" s="36">
        <f t="shared" si="34"/>
        <v>0</v>
      </c>
      <c r="AN65" s="33" t="str">
        <f t="shared" si="31"/>
        <v xml:space="preserve">  -  Sub Chefe de Confeitaria</v>
      </c>
      <c r="AO65" s="37">
        <f t="shared" si="32"/>
        <v>0</v>
      </c>
      <c r="AP65" s="35">
        <f t="shared" si="32"/>
        <v>0</v>
      </c>
      <c r="AQ65" s="35">
        <f t="shared" si="32"/>
        <v>0</v>
      </c>
      <c r="AR65" s="35">
        <f t="shared" si="32"/>
        <v>0</v>
      </c>
      <c r="AS65" s="35">
        <f t="shared" si="32"/>
        <v>0</v>
      </c>
      <c r="AT65" s="35">
        <f t="shared" si="32"/>
        <v>0</v>
      </c>
      <c r="AU65" s="35">
        <f t="shared" si="32"/>
        <v>0</v>
      </c>
      <c r="AV65" s="35">
        <f t="shared" si="32"/>
        <v>0</v>
      </c>
      <c r="AW65" s="35">
        <f t="shared" si="32"/>
        <v>0</v>
      </c>
      <c r="AX65" s="35">
        <f t="shared" si="32"/>
        <v>0</v>
      </c>
      <c r="AY65" s="35">
        <f t="shared" si="32"/>
        <v>0</v>
      </c>
      <c r="AZ65" s="36">
        <f t="shared" si="32"/>
        <v>0</v>
      </c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</row>
    <row r="66" spans="1:69" x14ac:dyDescent="0.3">
      <c r="A66" s="33" t="s">
        <v>91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52" t="str">
        <f t="shared" si="28"/>
        <v xml:space="preserve">  -  Confeiteiro III</v>
      </c>
      <c r="O66" s="37"/>
      <c r="P66" s="35">
        <v>3067</v>
      </c>
      <c r="Q66" s="35">
        <v>3067</v>
      </c>
      <c r="R66" s="35">
        <v>3067</v>
      </c>
      <c r="S66" s="55">
        <f t="shared" si="33"/>
        <v>3195.8139999999999</v>
      </c>
      <c r="T66" s="55">
        <f t="shared" si="33"/>
        <v>3195.8139999999999</v>
      </c>
      <c r="U66" s="55">
        <f t="shared" si="33"/>
        <v>3195.8139999999999</v>
      </c>
      <c r="V66" s="55">
        <f t="shared" si="33"/>
        <v>3195.8139999999999</v>
      </c>
      <c r="W66" s="55">
        <f t="shared" si="33"/>
        <v>3195.8139999999999</v>
      </c>
      <c r="X66" s="55">
        <f t="shared" si="33"/>
        <v>3195.8139999999999</v>
      </c>
      <c r="Y66" s="55">
        <f t="shared" si="33"/>
        <v>3195.8139999999999</v>
      </c>
      <c r="Z66" s="55">
        <f t="shared" si="33"/>
        <v>3195.8139999999999</v>
      </c>
      <c r="AA66" s="52" t="str">
        <f t="shared" si="30"/>
        <v xml:space="preserve">  -  Confeiteiro III</v>
      </c>
      <c r="AB66" s="35">
        <f t="shared" si="35"/>
        <v>0</v>
      </c>
      <c r="AC66" s="35">
        <f t="shared" si="35"/>
        <v>0</v>
      </c>
      <c r="AD66" s="35">
        <f t="shared" si="35"/>
        <v>0</v>
      </c>
      <c r="AE66" s="35">
        <f t="shared" si="34"/>
        <v>0</v>
      </c>
      <c r="AF66" s="35">
        <f t="shared" si="34"/>
        <v>0</v>
      </c>
      <c r="AG66" s="35">
        <f t="shared" si="34"/>
        <v>0</v>
      </c>
      <c r="AH66" s="35">
        <f t="shared" si="34"/>
        <v>0</v>
      </c>
      <c r="AI66" s="35">
        <f t="shared" si="34"/>
        <v>0</v>
      </c>
      <c r="AJ66" s="35">
        <f t="shared" si="34"/>
        <v>0</v>
      </c>
      <c r="AK66" s="35">
        <f t="shared" si="34"/>
        <v>0</v>
      </c>
      <c r="AL66" s="35">
        <f t="shared" si="34"/>
        <v>0</v>
      </c>
      <c r="AM66" s="36">
        <f t="shared" si="34"/>
        <v>0</v>
      </c>
      <c r="AN66" s="33" t="str">
        <f t="shared" si="31"/>
        <v xml:space="preserve">  -  Confeiteiro III</v>
      </c>
      <c r="AO66" s="37">
        <f t="shared" si="32"/>
        <v>0</v>
      </c>
      <c r="AP66" s="35">
        <f t="shared" si="32"/>
        <v>0</v>
      </c>
      <c r="AQ66" s="35">
        <f t="shared" si="32"/>
        <v>0</v>
      </c>
      <c r="AR66" s="35">
        <f t="shared" si="32"/>
        <v>0</v>
      </c>
      <c r="AS66" s="35">
        <f t="shared" si="32"/>
        <v>0</v>
      </c>
      <c r="AT66" s="35">
        <f t="shared" si="32"/>
        <v>0</v>
      </c>
      <c r="AU66" s="35">
        <f t="shared" si="32"/>
        <v>0</v>
      </c>
      <c r="AV66" s="35">
        <f t="shared" si="32"/>
        <v>0</v>
      </c>
      <c r="AW66" s="35">
        <f t="shared" si="32"/>
        <v>0</v>
      </c>
      <c r="AX66" s="35">
        <f t="shared" si="32"/>
        <v>0</v>
      </c>
      <c r="AY66" s="35">
        <f t="shared" si="32"/>
        <v>0</v>
      </c>
      <c r="AZ66" s="36">
        <f t="shared" si="32"/>
        <v>0</v>
      </c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</row>
    <row r="67" spans="1:69" x14ac:dyDescent="0.3">
      <c r="A67" s="33" t="s">
        <v>92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52" t="str">
        <f t="shared" si="28"/>
        <v xml:space="preserve">  -  Confeiteiro II</v>
      </c>
      <c r="O67" s="37"/>
      <c r="P67" s="35">
        <v>2569</v>
      </c>
      <c r="Q67" s="35">
        <v>2569</v>
      </c>
      <c r="R67" s="35">
        <v>2569</v>
      </c>
      <c r="S67" s="55">
        <f t="shared" si="33"/>
        <v>2676.8980000000001</v>
      </c>
      <c r="T67" s="55">
        <f t="shared" si="33"/>
        <v>2676.8980000000001</v>
      </c>
      <c r="U67" s="55">
        <f t="shared" si="33"/>
        <v>2676.8980000000001</v>
      </c>
      <c r="V67" s="55">
        <f t="shared" si="33"/>
        <v>2676.8980000000001</v>
      </c>
      <c r="W67" s="55">
        <f t="shared" si="33"/>
        <v>2676.8980000000001</v>
      </c>
      <c r="X67" s="55">
        <f t="shared" si="33"/>
        <v>2676.8980000000001</v>
      </c>
      <c r="Y67" s="55">
        <f t="shared" si="33"/>
        <v>2676.8980000000001</v>
      </c>
      <c r="Z67" s="55">
        <f t="shared" si="33"/>
        <v>2676.8980000000001</v>
      </c>
      <c r="AA67" s="52" t="str">
        <f t="shared" si="30"/>
        <v xml:space="preserve">  -  Confeiteiro II</v>
      </c>
      <c r="AB67" s="35">
        <f t="shared" si="35"/>
        <v>0</v>
      </c>
      <c r="AC67" s="35">
        <f t="shared" si="35"/>
        <v>0</v>
      </c>
      <c r="AD67" s="35">
        <f t="shared" si="35"/>
        <v>0</v>
      </c>
      <c r="AE67" s="35">
        <f t="shared" si="34"/>
        <v>0</v>
      </c>
      <c r="AF67" s="35">
        <f t="shared" si="34"/>
        <v>0</v>
      </c>
      <c r="AG67" s="35">
        <f t="shared" si="34"/>
        <v>0</v>
      </c>
      <c r="AH67" s="35">
        <f t="shared" si="34"/>
        <v>0</v>
      </c>
      <c r="AI67" s="35">
        <f t="shared" si="34"/>
        <v>0</v>
      </c>
      <c r="AJ67" s="35">
        <f t="shared" si="34"/>
        <v>0</v>
      </c>
      <c r="AK67" s="35">
        <f t="shared" si="34"/>
        <v>0</v>
      </c>
      <c r="AL67" s="35">
        <f t="shared" si="34"/>
        <v>0</v>
      </c>
      <c r="AM67" s="36">
        <f t="shared" si="34"/>
        <v>0</v>
      </c>
      <c r="AN67" s="33" t="str">
        <f t="shared" si="31"/>
        <v xml:space="preserve">  -  Confeiteiro II</v>
      </c>
      <c r="AO67" s="37">
        <f t="shared" si="32"/>
        <v>0</v>
      </c>
      <c r="AP67" s="35">
        <f t="shared" si="32"/>
        <v>0</v>
      </c>
      <c r="AQ67" s="35">
        <f t="shared" si="32"/>
        <v>0</v>
      </c>
      <c r="AR67" s="35">
        <f t="shared" si="32"/>
        <v>0</v>
      </c>
      <c r="AS67" s="35">
        <f t="shared" si="32"/>
        <v>0</v>
      </c>
      <c r="AT67" s="35">
        <f t="shared" si="32"/>
        <v>0</v>
      </c>
      <c r="AU67" s="35">
        <f t="shared" si="32"/>
        <v>0</v>
      </c>
      <c r="AV67" s="35">
        <f t="shared" si="32"/>
        <v>0</v>
      </c>
      <c r="AW67" s="35">
        <f t="shared" si="32"/>
        <v>0</v>
      </c>
      <c r="AX67" s="35">
        <f t="shared" si="32"/>
        <v>0</v>
      </c>
      <c r="AY67" s="35">
        <f t="shared" si="32"/>
        <v>0</v>
      </c>
      <c r="AZ67" s="36">
        <f t="shared" si="32"/>
        <v>0</v>
      </c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</row>
    <row r="68" spans="1:69" x14ac:dyDescent="0.3">
      <c r="A68" s="33" t="s">
        <v>93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52" t="str">
        <f t="shared" si="28"/>
        <v xml:space="preserve">  -  Confeiteiro I</v>
      </c>
      <c r="O68" s="37"/>
      <c r="P68" s="35">
        <v>1938.56</v>
      </c>
      <c r="Q68" s="35">
        <v>1938.56</v>
      </c>
      <c r="R68" s="35">
        <v>1938.56</v>
      </c>
      <c r="S68" s="55">
        <f t="shared" si="33"/>
        <v>2019.9795199999999</v>
      </c>
      <c r="T68" s="55">
        <f t="shared" si="33"/>
        <v>2019.9795199999999</v>
      </c>
      <c r="U68" s="55">
        <f t="shared" si="33"/>
        <v>2019.9795199999999</v>
      </c>
      <c r="V68" s="55">
        <f t="shared" si="33"/>
        <v>2019.9795199999999</v>
      </c>
      <c r="W68" s="55">
        <f t="shared" si="33"/>
        <v>2019.9795199999999</v>
      </c>
      <c r="X68" s="55">
        <f t="shared" si="33"/>
        <v>2019.9795199999999</v>
      </c>
      <c r="Y68" s="55">
        <f t="shared" si="33"/>
        <v>2019.9795199999999</v>
      </c>
      <c r="Z68" s="55">
        <f t="shared" si="33"/>
        <v>2019.9795199999999</v>
      </c>
      <c r="AA68" s="52" t="str">
        <f t="shared" si="30"/>
        <v xml:space="preserve">  -  Confeiteiro I</v>
      </c>
      <c r="AB68" s="35">
        <f t="shared" si="35"/>
        <v>0</v>
      </c>
      <c r="AC68" s="35">
        <f t="shared" si="35"/>
        <v>0</v>
      </c>
      <c r="AD68" s="35">
        <f t="shared" si="35"/>
        <v>0</v>
      </c>
      <c r="AE68" s="35">
        <f t="shared" si="34"/>
        <v>0</v>
      </c>
      <c r="AF68" s="35">
        <f t="shared" si="34"/>
        <v>0</v>
      </c>
      <c r="AG68" s="35">
        <f t="shared" si="34"/>
        <v>0</v>
      </c>
      <c r="AH68" s="35">
        <f t="shared" si="34"/>
        <v>0</v>
      </c>
      <c r="AI68" s="35">
        <f t="shared" si="34"/>
        <v>0</v>
      </c>
      <c r="AJ68" s="35">
        <f t="shared" si="34"/>
        <v>0</v>
      </c>
      <c r="AK68" s="35">
        <f t="shared" si="34"/>
        <v>0</v>
      </c>
      <c r="AL68" s="35">
        <f t="shared" si="34"/>
        <v>0</v>
      </c>
      <c r="AM68" s="36">
        <f t="shared" si="34"/>
        <v>0</v>
      </c>
      <c r="AN68" s="33" t="str">
        <f t="shared" si="31"/>
        <v xml:space="preserve">  -  Confeiteiro I</v>
      </c>
      <c r="AO68" s="37">
        <f t="shared" si="32"/>
        <v>0</v>
      </c>
      <c r="AP68" s="35">
        <f t="shared" si="32"/>
        <v>0</v>
      </c>
      <c r="AQ68" s="35">
        <f t="shared" si="32"/>
        <v>0</v>
      </c>
      <c r="AR68" s="35">
        <f t="shared" si="32"/>
        <v>0</v>
      </c>
      <c r="AS68" s="35">
        <f t="shared" si="32"/>
        <v>0</v>
      </c>
      <c r="AT68" s="35">
        <f t="shared" si="32"/>
        <v>0</v>
      </c>
      <c r="AU68" s="35">
        <f t="shared" si="32"/>
        <v>0</v>
      </c>
      <c r="AV68" s="35">
        <f t="shared" si="32"/>
        <v>0</v>
      </c>
      <c r="AW68" s="35">
        <f t="shared" si="32"/>
        <v>0</v>
      </c>
      <c r="AX68" s="35">
        <f t="shared" si="32"/>
        <v>0</v>
      </c>
      <c r="AY68" s="35">
        <f t="shared" si="32"/>
        <v>0</v>
      </c>
      <c r="AZ68" s="36">
        <f t="shared" si="32"/>
        <v>0</v>
      </c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</row>
    <row r="69" spans="1:69" x14ac:dyDescent="0.3">
      <c r="A69" s="33" t="s">
        <v>94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52" t="str">
        <f t="shared" si="28"/>
        <v xml:space="preserve">  -  Copeiro</v>
      </c>
      <c r="O69" s="37"/>
      <c r="P69" s="35">
        <v>2360.06</v>
      </c>
      <c r="Q69" s="35">
        <v>2360.06</v>
      </c>
      <c r="R69" s="35">
        <v>2360.06</v>
      </c>
      <c r="S69" s="55">
        <f t="shared" si="33"/>
        <v>2459.1825199999998</v>
      </c>
      <c r="T69" s="55">
        <f t="shared" si="33"/>
        <v>2459.1825199999998</v>
      </c>
      <c r="U69" s="55">
        <f t="shared" si="33"/>
        <v>2459.1825199999998</v>
      </c>
      <c r="V69" s="55">
        <f t="shared" si="33"/>
        <v>2459.1825199999998</v>
      </c>
      <c r="W69" s="55">
        <f t="shared" si="33"/>
        <v>2459.1825199999998</v>
      </c>
      <c r="X69" s="55">
        <f t="shared" si="33"/>
        <v>2459.1825199999998</v>
      </c>
      <c r="Y69" s="55">
        <f t="shared" si="33"/>
        <v>2459.1825199999998</v>
      </c>
      <c r="Z69" s="55">
        <f t="shared" si="33"/>
        <v>2459.1825199999998</v>
      </c>
      <c r="AA69" s="52" t="str">
        <f t="shared" si="30"/>
        <v xml:space="preserve">  -  Copeiro</v>
      </c>
      <c r="AB69" s="35">
        <f t="shared" si="35"/>
        <v>0</v>
      </c>
      <c r="AC69" s="35">
        <f t="shared" si="35"/>
        <v>0</v>
      </c>
      <c r="AD69" s="35">
        <f t="shared" si="35"/>
        <v>0</v>
      </c>
      <c r="AE69" s="35">
        <f t="shared" si="34"/>
        <v>0</v>
      </c>
      <c r="AF69" s="35">
        <f t="shared" si="34"/>
        <v>0</v>
      </c>
      <c r="AG69" s="35">
        <f t="shared" si="34"/>
        <v>0</v>
      </c>
      <c r="AH69" s="35">
        <f t="shared" si="34"/>
        <v>0</v>
      </c>
      <c r="AI69" s="35">
        <f t="shared" si="34"/>
        <v>0</v>
      </c>
      <c r="AJ69" s="35">
        <f t="shared" si="34"/>
        <v>0</v>
      </c>
      <c r="AK69" s="35">
        <f t="shared" si="34"/>
        <v>0</v>
      </c>
      <c r="AL69" s="35">
        <f t="shared" si="34"/>
        <v>0</v>
      </c>
      <c r="AM69" s="36">
        <f t="shared" si="34"/>
        <v>0</v>
      </c>
      <c r="AN69" s="33" t="str">
        <f t="shared" si="31"/>
        <v xml:space="preserve">  -  Copeiro</v>
      </c>
      <c r="AO69" s="37">
        <f t="shared" si="32"/>
        <v>0</v>
      </c>
      <c r="AP69" s="35">
        <f t="shared" si="32"/>
        <v>0</v>
      </c>
      <c r="AQ69" s="35">
        <f t="shared" si="32"/>
        <v>0</v>
      </c>
      <c r="AR69" s="35">
        <f t="shared" si="32"/>
        <v>0</v>
      </c>
      <c r="AS69" s="35">
        <f t="shared" si="32"/>
        <v>0</v>
      </c>
      <c r="AT69" s="35">
        <f t="shared" si="32"/>
        <v>0</v>
      </c>
      <c r="AU69" s="35">
        <f t="shared" si="32"/>
        <v>0</v>
      </c>
      <c r="AV69" s="35">
        <f t="shared" si="32"/>
        <v>0</v>
      </c>
      <c r="AW69" s="35">
        <f t="shared" si="32"/>
        <v>0</v>
      </c>
      <c r="AX69" s="35">
        <f t="shared" si="32"/>
        <v>0</v>
      </c>
      <c r="AY69" s="35">
        <f t="shared" si="32"/>
        <v>0</v>
      </c>
      <c r="AZ69" s="36">
        <f t="shared" si="32"/>
        <v>0</v>
      </c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</row>
    <row r="70" spans="1:69" x14ac:dyDescent="0.3">
      <c r="A70" s="33" t="s">
        <v>95</v>
      </c>
      <c r="B70" s="34"/>
      <c r="C70" s="34">
        <v>1</v>
      </c>
      <c r="D70" s="34">
        <v>1</v>
      </c>
      <c r="E70" s="34">
        <v>1</v>
      </c>
      <c r="F70" s="34">
        <v>1</v>
      </c>
      <c r="G70" s="34">
        <v>1</v>
      </c>
      <c r="H70" s="34">
        <v>1</v>
      </c>
      <c r="I70" s="34">
        <v>1</v>
      </c>
      <c r="J70" s="34">
        <v>1</v>
      </c>
      <c r="K70" s="34">
        <v>1</v>
      </c>
      <c r="L70" s="34">
        <v>1</v>
      </c>
      <c r="M70" s="34">
        <v>1</v>
      </c>
      <c r="N70" s="52" t="str">
        <f t="shared" si="28"/>
        <v xml:space="preserve">  -  Pizzaiolo</v>
      </c>
      <c r="O70" s="37">
        <v>2000</v>
      </c>
      <c r="P70" s="35">
        <v>2954.63</v>
      </c>
      <c r="Q70" s="35">
        <v>2954.63</v>
      </c>
      <c r="R70" s="35">
        <v>2954.63</v>
      </c>
      <c r="S70" s="55">
        <f t="shared" si="33"/>
        <v>3078.7244599999999</v>
      </c>
      <c r="T70" s="55">
        <f t="shared" si="33"/>
        <v>3078.7244599999999</v>
      </c>
      <c r="U70" s="55">
        <f t="shared" si="33"/>
        <v>3078.7244599999999</v>
      </c>
      <c r="V70" s="55">
        <f t="shared" si="33"/>
        <v>3078.7244599999999</v>
      </c>
      <c r="W70" s="55">
        <f t="shared" si="33"/>
        <v>3078.7244599999999</v>
      </c>
      <c r="X70" s="55">
        <f t="shared" si="33"/>
        <v>3078.7244599999999</v>
      </c>
      <c r="Y70" s="55">
        <f t="shared" si="33"/>
        <v>3078.7244599999999</v>
      </c>
      <c r="Z70" s="55">
        <f t="shared" si="33"/>
        <v>3078.7244599999999</v>
      </c>
      <c r="AA70" s="52" t="str">
        <f t="shared" si="30"/>
        <v xml:space="preserve">  -  Pizzaiolo</v>
      </c>
      <c r="AB70" s="35">
        <f t="shared" si="35"/>
        <v>0</v>
      </c>
      <c r="AC70" s="35">
        <f t="shared" si="35"/>
        <v>2954.63</v>
      </c>
      <c r="AD70" s="35">
        <f t="shared" si="35"/>
        <v>2954.63</v>
      </c>
      <c r="AE70" s="35">
        <f t="shared" si="34"/>
        <v>2954.63</v>
      </c>
      <c r="AF70" s="35">
        <f t="shared" si="34"/>
        <v>3078.7244599999999</v>
      </c>
      <c r="AG70" s="35">
        <f t="shared" si="34"/>
        <v>3078.7244599999999</v>
      </c>
      <c r="AH70" s="35">
        <f t="shared" si="34"/>
        <v>3078.7244599999999</v>
      </c>
      <c r="AI70" s="35">
        <f t="shared" si="34"/>
        <v>3078.7244599999999</v>
      </c>
      <c r="AJ70" s="35">
        <f t="shared" si="34"/>
        <v>3078.7244599999999</v>
      </c>
      <c r="AK70" s="35">
        <f t="shared" si="34"/>
        <v>3078.7244599999999</v>
      </c>
      <c r="AL70" s="35">
        <f t="shared" si="34"/>
        <v>3078.7244599999999</v>
      </c>
      <c r="AM70" s="36">
        <f t="shared" si="34"/>
        <v>3078.7244599999999</v>
      </c>
      <c r="AN70" s="33" t="str">
        <f t="shared" si="31"/>
        <v xml:space="preserve">  -  Pizzaiolo</v>
      </c>
      <c r="AO70" s="37">
        <f t="shared" si="32"/>
        <v>0</v>
      </c>
      <c r="AP70" s="35">
        <f t="shared" si="32"/>
        <v>-572</v>
      </c>
      <c r="AQ70" s="35">
        <f t="shared" si="32"/>
        <v>-572</v>
      </c>
      <c r="AR70" s="35">
        <f t="shared" si="32"/>
        <v>-572</v>
      </c>
      <c r="AS70" s="35">
        <f t="shared" si="32"/>
        <v>-572</v>
      </c>
      <c r="AT70" s="35">
        <f t="shared" si="32"/>
        <v>-572</v>
      </c>
      <c r="AU70" s="35">
        <f t="shared" si="32"/>
        <v>-572</v>
      </c>
      <c r="AV70" s="35">
        <f t="shared" si="32"/>
        <v>-572</v>
      </c>
      <c r="AW70" s="35">
        <f t="shared" si="32"/>
        <v>-572</v>
      </c>
      <c r="AX70" s="35">
        <f t="shared" si="32"/>
        <v>-572</v>
      </c>
      <c r="AY70" s="35">
        <f t="shared" si="32"/>
        <v>-572</v>
      </c>
      <c r="AZ70" s="36">
        <f t="shared" si="32"/>
        <v>-572</v>
      </c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</row>
    <row r="71" spans="1:69" x14ac:dyDescent="0.3">
      <c r="A71" s="33" t="s">
        <v>96</v>
      </c>
      <c r="B71" s="34">
        <v>1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52" t="str">
        <f t="shared" si="28"/>
        <v xml:space="preserve">  -  Ajudante de Pizzaiolo</v>
      </c>
      <c r="O71" s="37">
        <v>2000</v>
      </c>
      <c r="P71" s="35">
        <v>1869.4</v>
      </c>
      <c r="Q71" s="35">
        <v>1869.4</v>
      </c>
      <c r="R71" s="35">
        <v>1869.4</v>
      </c>
      <c r="S71" s="55">
        <f t="shared" si="33"/>
        <v>1947.9148</v>
      </c>
      <c r="T71" s="55">
        <f t="shared" si="33"/>
        <v>1947.9148</v>
      </c>
      <c r="U71" s="55">
        <f t="shared" si="33"/>
        <v>1947.9148</v>
      </c>
      <c r="V71" s="55">
        <f t="shared" si="33"/>
        <v>1947.9148</v>
      </c>
      <c r="W71" s="55">
        <f t="shared" si="33"/>
        <v>1947.9148</v>
      </c>
      <c r="X71" s="55">
        <f t="shared" si="33"/>
        <v>1947.9148</v>
      </c>
      <c r="Y71" s="55">
        <f t="shared" si="33"/>
        <v>1947.9148</v>
      </c>
      <c r="Z71" s="55">
        <f t="shared" si="33"/>
        <v>1947.9148</v>
      </c>
      <c r="AA71" s="52" t="str">
        <f t="shared" si="30"/>
        <v xml:space="preserve">  -  Ajudante de Pizzaiolo</v>
      </c>
      <c r="AB71" s="35">
        <f t="shared" si="35"/>
        <v>2000</v>
      </c>
      <c r="AC71" s="35">
        <f t="shared" si="35"/>
        <v>0</v>
      </c>
      <c r="AD71" s="35">
        <f t="shared" si="35"/>
        <v>0</v>
      </c>
      <c r="AE71" s="35">
        <f t="shared" si="34"/>
        <v>0</v>
      </c>
      <c r="AF71" s="35">
        <f t="shared" si="34"/>
        <v>0</v>
      </c>
      <c r="AG71" s="35">
        <f t="shared" si="34"/>
        <v>0</v>
      </c>
      <c r="AH71" s="35">
        <f t="shared" si="34"/>
        <v>0</v>
      </c>
      <c r="AI71" s="35">
        <f t="shared" si="34"/>
        <v>0</v>
      </c>
      <c r="AJ71" s="35">
        <f t="shared" si="34"/>
        <v>0</v>
      </c>
      <c r="AK71" s="35">
        <f t="shared" si="34"/>
        <v>0</v>
      </c>
      <c r="AL71" s="35">
        <f t="shared" si="34"/>
        <v>0</v>
      </c>
      <c r="AM71" s="36">
        <f t="shared" si="34"/>
        <v>0</v>
      </c>
      <c r="AN71" s="33" t="str">
        <f t="shared" si="31"/>
        <v xml:space="preserve">  -  Ajudante de Pizzaiolo</v>
      </c>
      <c r="AO71" s="37">
        <f t="shared" si="32"/>
        <v>-572</v>
      </c>
      <c r="AP71" s="35">
        <f t="shared" si="32"/>
        <v>0</v>
      </c>
      <c r="AQ71" s="35">
        <f t="shared" si="32"/>
        <v>0</v>
      </c>
      <c r="AR71" s="35">
        <f t="shared" si="32"/>
        <v>0</v>
      </c>
      <c r="AS71" s="35">
        <f t="shared" si="32"/>
        <v>0</v>
      </c>
      <c r="AT71" s="35">
        <f t="shared" si="32"/>
        <v>0</v>
      </c>
      <c r="AU71" s="35">
        <f t="shared" si="32"/>
        <v>0</v>
      </c>
      <c r="AV71" s="35">
        <f t="shared" si="32"/>
        <v>0</v>
      </c>
      <c r="AW71" s="35">
        <f t="shared" si="32"/>
        <v>0</v>
      </c>
      <c r="AX71" s="35">
        <f t="shared" si="32"/>
        <v>0</v>
      </c>
      <c r="AY71" s="35">
        <f t="shared" si="32"/>
        <v>0</v>
      </c>
      <c r="AZ71" s="36">
        <f t="shared" si="32"/>
        <v>0</v>
      </c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</row>
    <row r="72" spans="1:69" x14ac:dyDescent="0.3">
      <c r="A72" s="33" t="s">
        <v>97</v>
      </c>
      <c r="B72" s="34">
        <v>2</v>
      </c>
      <c r="C72" s="34">
        <v>2</v>
      </c>
      <c r="D72" s="34">
        <v>2</v>
      </c>
      <c r="E72" s="34">
        <v>2</v>
      </c>
      <c r="F72" s="34">
        <v>2</v>
      </c>
      <c r="G72" s="34">
        <v>2</v>
      </c>
      <c r="H72" s="34">
        <v>2</v>
      </c>
      <c r="I72" s="34">
        <v>2</v>
      </c>
      <c r="J72" s="34">
        <v>2</v>
      </c>
      <c r="K72" s="34">
        <v>2</v>
      </c>
      <c r="L72" s="34">
        <v>2</v>
      </c>
      <c r="M72" s="34">
        <v>2</v>
      </c>
      <c r="N72" s="52" t="str">
        <f t="shared" si="28"/>
        <v xml:space="preserve">  -  Boqueta</v>
      </c>
      <c r="O72" s="37">
        <v>1900</v>
      </c>
      <c r="P72" s="35">
        <v>2360.06</v>
      </c>
      <c r="Q72" s="35">
        <v>2360.06</v>
      </c>
      <c r="R72" s="35">
        <v>2360.06</v>
      </c>
      <c r="S72" s="55">
        <f t="shared" si="33"/>
        <v>2459.1825199999998</v>
      </c>
      <c r="T72" s="55">
        <f t="shared" si="33"/>
        <v>2459.1825199999998</v>
      </c>
      <c r="U72" s="55">
        <f t="shared" si="33"/>
        <v>2459.1825199999998</v>
      </c>
      <c r="V72" s="55">
        <f t="shared" si="33"/>
        <v>2459.1825199999998</v>
      </c>
      <c r="W72" s="55">
        <f t="shared" si="33"/>
        <v>2459.1825199999998</v>
      </c>
      <c r="X72" s="55">
        <f t="shared" si="33"/>
        <v>2459.1825199999998</v>
      </c>
      <c r="Y72" s="55">
        <f t="shared" si="33"/>
        <v>2459.1825199999998</v>
      </c>
      <c r="Z72" s="55">
        <f t="shared" si="33"/>
        <v>2459.1825199999998</v>
      </c>
      <c r="AA72" s="52" t="str">
        <f t="shared" si="30"/>
        <v xml:space="preserve">  -  Boqueta</v>
      </c>
      <c r="AB72" s="35">
        <f t="shared" si="35"/>
        <v>3800</v>
      </c>
      <c r="AC72" s="35">
        <f t="shared" si="35"/>
        <v>4720.12</v>
      </c>
      <c r="AD72" s="35">
        <f t="shared" si="35"/>
        <v>4720.12</v>
      </c>
      <c r="AE72" s="35">
        <f t="shared" si="34"/>
        <v>4720.12</v>
      </c>
      <c r="AF72" s="35">
        <f t="shared" si="34"/>
        <v>4918.3650399999997</v>
      </c>
      <c r="AG72" s="35">
        <f t="shared" si="34"/>
        <v>4918.3650399999997</v>
      </c>
      <c r="AH72" s="35">
        <f t="shared" si="34"/>
        <v>4918.3650399999997</v>
      </c>
      <c r="AI72" s="35">
        <f t="shared" si="34"/>
        <v>4918.3650399999997</v>
      </c>
      <c r="AJ72" s="35">
        <f t="shared" si="34"/>
        <v>4918.3650399999997</v>
      </c>
      <c r="AK72" s="35">
        <f t="shared" si="34"/>
        <v>4918.3650399999997</v>
      </c>
      <c r="AL72" s="35">
        <f t="shared" si="34"/>
        <v>4918.3650399999997</v>
      </c>
      <c r="AM72" s="36">
        <f t="shared" si="34"/>
        <v>4918.3650399999997</v>
      </c>
      <c r="AN72" s="33" t="str">
        <f t="shared" si="31"/>
        <v xml:space="preserve">  -  Boqueta</v>
      </c>
      <c r="AO72" s="37">
        <f t="shared" si="32"/>
        <v>-1144</v>
      </c>
      <c r="AP72" s="35">
        <f t="shared" si="32"/>
        <v>-1144</v>
      </c>
      <c r="AQ72" s="35">
        <f t="shared" si="32"/>
        <v>-1144</v>
      </c>
      <c r="AR72" s="35">
        <f t="shared" si="32"/>
        <v>-1144</v>
      </c>
      <c r="AS72" s="35">
        <f t="shared" si="32"/>
        <v>-1144</v>
      </c>
      <c r="AT72" s="35">
        <f t="shared" si="32"/>
        <v>-1144</v>
      </c>
      <c r="AU72" s="35">
        <f t="shared" si="32"/>
        <v>-1144</v>
      </c>
      <c r="AV72" s="35">
        <f t="shared" si="32"/>
        <v>-1144</v>
      </c>
      <c r="AW72" s="35">
        <f t="shared" si="32"/>
        <v>-1144</v>
      </c>
      <c r="AX72" s="35">
        <f t="shared" si="32"/>
        <v>-1144</v>
      </c>
      <c r="AY72" s="35">
        <f t="shared" si="32"/>
        <v>-1144</v>
      </c>
      <c r="AZ72" s="36">
        <f t="shared" si="32"/>
        <v>-1144</v>
      </c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</row>
    <row r="73" spans="1:69" x14ac:dyDescent="0.3">
      <c r="A73" s="33" t="s">
        <v>98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52" t="str">
        <f t="shared" si="28"/>
        <v xml:space="preserve">  -  Churrasqueiro III</v>
      </c>
      <c r="O73" s="37"/>
      <c r="P73" s="35">
        <v>2629.5</v>
      </c>
      <c r="Q73" s="35">
        <v>2629.5</v>
      </c>
      <c r="R73" s="35">
        <v>2629.5</v>
      </c>
      <c r="S73" s="55">
        <f t="shared" ref="S73:Z88" si="36">$R73+($R73*$S$39)</f>
        <v>2739.9389999999999</v>
      </c>
      <c r="T73" s="55">
        <f t="shared" si="36"/>
        <v>2739.9389999999999</v>
      </c>
      <c r="U73" s="55">
        <f t="shared" si="36"/>
        <v>2739.9389999999999</v>
      </c>
      <c r="V73" s="55">
        <f t="shared" si="36"/>
        <v>2739.9389999999999</v>
      </c>
      <c r="W73" s="55">
        <f t="shared" si="36"/>
        <v>2739.9389999999999</v>
      </c>
      <c r="X73" s="55">
        <f t="shared" si="36"/>
        <v>2739.9389999999999</v>
      </c>
      <c r="Y73" s="55">
        <f t="shared" si="36"/>
        <v>2739.9389999999999</v>
      </c>
      <c r="Z73" s="55">
        <f t="shared" si="36"/>
        <v>2739.9389999999999</v>
      </c>
      <c r="AA73" s="52" t="str">
        <f t="shared" si="30"/>
        <v xml:space="preserve">  -  Churrasqueiro III</v>
      </c>
      <c r="AB73" s="35">
        <f t="shared" si="35"/>
        <v>0</v>
      </c>
      <c r="AC73" s="35">
        <f t="shared" si="35"/>
        <v>0</v>
      </c>
      <c r="AD73" s="35">
        <f t="shared" si="35"/>
        <v>0</v>
      </c>
      <c r="AE73" s="35">
        <f t="shared" si="34"/>
        <v>0</v>
      </c>
      <c r="AF73" s="35">
        <f t="shared" si="34"/>
        <v>0</v>
      </c>
      <c r="AG73" s="35">
        <f t="shared" si="34"/>
        <v>0</v>
      </c>
      <c r="AH73" s="35">
        <f t="shared" si="34"/>
        <v>0</v>
      </c>
      <c r="AI73" s="35">
        <f t="shared" si="34"/>
        <v>0</v>
      </c>
      <c r="AJ73" s="35">
        <f t="shared" si="34"/>
        <v>0</v>
      </c>
      <c r="AK73" s="35">
        <f t="shared" si="34"/>
        <v>0</v>
      </c>
      <c r="AL73" s="35">
        <f t="shared" si="34"/>
        <v>0</v>
      </c>
      <c r="AM73" s="36">
        <f t="shared" si="34"/>
        <v>0</v>
      </c>
      <c r="AN73" s="33" t="str">
        <f t="shared" si="31"/>
        <v xml:space="preserve">  -  Churrasqueiro III</v>
      </c>
      <c r="AO73" s="37">
        <f t="shared" si="32"/>
        <v>0</v>
      </c>
      <c r="AP73" s="35">
        <f t="shared" si="32"/>
        <v>0</v>
      </c>
      <c r="AQ73" s="35">
        <f t="shared" si="32"/>
        <v>0</v>
      </c>
      <c r="AR73" s="35">
        <f t="shared" si="32"/>
        <v>0</v>
      </c>
      <c r="AS73" s="35">
        <f t="shared" si="32"/>
        <v>0</v>
      </c>
      <c r="AT73" s="35">
        <f t="shared" si="32"/>
        <v>0</v>
      </c>
      <c r="AU73" s="35">
        <f t="shared" si="32"/>
        <v>0</v>
      </c>
      <c r="AV73" s="35">
        <f t="shared" si="32"/>
        <v>0</v>
      </c>
      <c r="AW73" s="35">
        <f t="shared" si="32"/>
        <v>0</v>
      </c>
      <c r="AX73" s="35">
        <f t="shared" si="32"/>
        <v>0</v>
      </c>
      <c r="AY73" s="35">
        <f t="shared" si="32"/>
        <v>0</v>
      </c>
      <c r="AZ73" s="36">
        <f t="shared" si="32"/>
        <v>0</v>
      </c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</row>
    <row r="74" spans="1:69" x14ac:dyDescent="0.3">
      <c r="A74" s="33" t="s">
        <v>99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52" t="str">
        <f t="shared" si="28"/>
        <v xml:space="preserve">  -  Churrasqueiro II</v>
      </c>
      <c r="O74" s="37"/>
      <c r="P74" s="35">
        <v>2569</v>
      </c>
      <c r="Q74" s="35">
        <v>2569</v>
      </c>
      <c r="R74" s="35">
        <v>2569</v>
      </c>
      <c r="S74" s="55">
        <f t="shared" si="36"/>
        <v>2676.8980000000001</v>
      </c>
      <c r="T74" s="55">
        <f t="shared" si="36"/>
        <v>2676.8980000000001</v>
      </c>
      <c r="U74" s="55">
        <f t="shared" si="36"/>
        <v>2676.8980000000001</v>
      </c>
      <c r="V74" s="55">
        <f t="shared" si="36"/>
        <v>2676.8980000000001</v>
      </c>
      <c r="W74" s="55">
        <f t="shared" si="36"/>
        <v>2676.8980000000001</v>
      </c>
      <c r="X74" s="55">
        <f t="shared" si="36"/>
        <v>2676.8980000000001</v>
      </c>
      <c r="Y74" s="55">
        <f t="shared" si="36"/>
        <v>2676.8980000000001</v>
      </c>
      <c r="Z74" s="55">
        <f t="shared" si="36"/>
        <v>2676.8980000000001</v>
      </c>
      <c r="AA74" s="52" t="str">
        <f t="shared" si="30"/>
        <v xml:space="preserve">  -  Churrasqueiro II</v>
      </c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6"/>
      <c r="AN74" s="33" t="str">
        <f t="shared" si="31"/>
        <v xml:space="preserve">  -  Churrasqueiro II</v>
      </c>
      <c r="AO74" s="37">
        <f t="shared" si="32"/>
        <v>0</v>
      </c>
      <c r="AP74" s="35">
        <f t="shared" si="32"/>
        <v>0</v>
      </c>
      <c r="AQ74" s="35">
        <f t="shared" si="32"/>
        <v>0</v>
      </c>
      <c r="AR74" s="35">
        <f t="shared" si="32"/>
        <v>0</v>
      </c>
      <c r="AS74" s="35">
        <f t="shared" si="32"/>
        <v>0</v>
      </c>
      <c r="AT74" s="35">
        <f t="shared" si="32"/>
        <v>0</v>
      </c>
      <c r="AU74" s="35">
        <f t="shared" si="32"/>
        <v>0</v>
      </c>
      <c r="AV74" s="35">
        <f t="shared" si="32"/>
        <v>0</v>
      </c>
      <c r="AW74" s="35">
        <f t="shared" si="32"/>
        <v>0</v>
      </c>
      <c r="AX74" s="35">
        <f t="shared" si="32"/>
        <v>0</v>
      </c>
      <c r="AY74" s="35">
        <f t="shared" si="32"/>
        <v>0</v>
      </c>
      <c r="AZ74" s="36">
        <f t="shared" si="32"/>
        <v>0</v>
      </c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</row>
    <row r="75" spans="1:69" x14ac:dyDescent="0.3">
      <c r="A75" s="33" t="s">
        <v>100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52" t="str">
        <f t="shared" si="28"/>
        <v xml:space="preserve">  -  Churrasqueiro I</v>
      </c>
      <c r="O75" s="37"/>
      <c r="P75" s="35">
        <v>1938.56</v>
      </c>
      <c r="Q75" s="35">
        <v>1938.56</v>
      </c>
      <c r="R75" s="35">
        <v>1938.56</v>
      </c>
      <c r="S75" s="55">
        <f t="shared" si="36"/>
        <v>2019.9795199999999</v>
      </c>
      <c r="T75" s="55">
        <f t="shared" si="36"/>
        <v>2019.9795199999999</v>
      </c>
      <c r="U75" s="55">
        <f t="shared" si="36"/>
        <v>2019.9795199999999</v>
      </c>
      <c r="V75" s="55">
        <f t="shared" si="36"/>
        <v>2019.9795199999999</v>
      </c>
      <c r="W75" s="55">
        <f t="shared" si="36"/>
        <v>2019.9795199999999</v>
      </c>
      <c r="X75" s="55">
        <f t="shared" si="36"/>
        <v>2019.9795199999999</v>
      </c>
      <c r="Y75" s="55">
        <f t="shared" si="36"/>
        <v>2019.9795199999999</v>
      </c>
      <c r="Z75" s="55">
        <f t="shared" si="36"/>
        <v>2019.9795199999999</v>
      </c>
      <c r="AA75" s="52" t="str">
        <f t="shared" si="30"/>
        <v xml:space="preserve">  -  Churrasqueiro I</v>
      </c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6"/>
      <c r="AN75" s="33" t="str">
        <f t="shared" si="31"/>
        <v xml:space="preserve">  -  Churrasqueiro I</v>
      </c>
      <c r="AO75" s="37">
        <f t="shared" si="32"/>
        <v>0</v>
      </c>
      <c r="AP75" s="35">
        <f t="shared" si="32"/>
        <v>0</v>
      </c>
      <c r="AQ75" s="35">
        <f t="shared" si="32"/>
        <v>0</v>
      </c>
      <c r="AR75" s="35">
        <f t="shared" si="32"/>
        <v>0</v>
      </c>
      <c r="AS75" s="35">
        <f t="shared" si="32"/>
        <v>0</v>
      </c>
      <c r="AT75" s="35">
        <f t="shared" si="32"/>
        <v>0</v>
      </c>
      <c r="AU75" s="35">
        <f t="shared" si="32"/>
        <v>0</v>
      </c>
      <c r="AV75" s="35">
        <f t="shared" si="32"/>
        <v>0</v>
      </c>
      <c r="AW75" s="35">
        <f t="shared" si="32"/>
        <v>0</v>
      </c>
      <c r="AX75" s="35">
        <f t="shared" si="32"/>
        <v>0</v>
      </c>
      <c r="AY75" s="35">
        <f t="shared" si="32"/>
        <v>0</v>
      </c>
      <c r="AZ75" s="36">
        <f t="shared" si="32"/>
        <v>0</v>
      </c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</row>
    <row r="76" spans="1:69" x14ac:dyDescent="0.3">
      <c r="A76" s="33" t="s">
        <v>101</v>
      </c>
      <c r="B76" s="34">
        <v>2</v>
      </c>
      <c r="C76" s="34">
        <v>3</v>
      </c>
      <c r="D76" s="34">
        <v>3</v>
      </c>
      <c r="E76" s="34">
        <v>3</v>
      </c>
      <c r="F76" s="34">
        <v>3</v>
      </c>
      <c r="G76" s="34">
        <v>3</v>
      </c>
      <c r="H76" s="34">
        <v>3</v>
      </c>
      <c r="I76" s="34">
        <v>3</v>
      </c>
      <c r="J76" s="34">
        <v>3</v>
      </c>
      <c r="K76" s="34">
        <v>3</v>
      </c>
      <c r="L76" s="34">
        <v>3</v>
      </c>
      <c r="M76" s="34">
        <v>3</v>
      </c>
      <c r="N76" s="52" t="str">
        <f t="shared" si="28"/>
        <v xml:space="preserve">  -  Ajud Limpeza</v>
      </c>
      <c r="O76" s="37">
        <v>1500</v>
      </c>
      <c r="P76" s="35">
        <v>1804</v>
      </c>
      <c r="Q76" s="35">
        <v>1804</v>
      </c>
      <c r="R76" s="35">
        <v>1804</v>
      </c>
      <c r="S76" s="55">
        <f t="shared" si="36"/>
        <v>1879.768</v>
      </c>
      <c r="T76" s="55">
        <f t="shared" si="36"/>
        <v>1879.768</v>
      </c>
      <c r="U76" s="55">
        <f t="shared" si="36"/>
        <v>1879.768</v>
      </c>
      <c r="V76" s="55">
        <f t="shared" si="36"/>
        <v>1879.768</v>
      </c>
      <c r="W76" s="55">
        <f t="shared" si="36"/>
        <v>1879.768</v>
      </c>
      <c r="X76" s="55">
        <f t="shared" si="36"/>
        <v>1879.768</v>
      </c>
      <c r="Y76" s="55">
        <f t="shared" si="36"/>
        <v>1879.768</v>
      </c>
      <c r="Z76" s="55">
        <f t="shared" si="36"/>
        <v>1879.768</v>
      </c>
      <c r="AA76" s="52" t="str">
        <f t="shared" si="30"/>
        <v xml:space="preserve">  -  Ajud Limpeza</v>
      </c>
      <c r="AB76" s="35">
        <f t="shared" si="35"/>
        <v>3000</v>
      </c>
      <c r="AC76" s="35">
        <f t="shared" si="35"/>
        <v>5412</v>
      </c>
      <c r="AD76" s="35">
        <f t="shared" si="35"/>
        <v>5412</v>
      </c>
      <c r="AE76" s="35">
        <f t="shared" si="34"/>
        <v>5412</v>
      </c>
      <c r="AF76" s="35">
        <f t="shared" si="34"/>
        <v>5639.3040000000001</v>
      </c>
      <c r="AG76" s="35">
        <f t="shared" si="34"/>
        <v>5639.3040000000001</v>
      </c>
      <c r="AH76" s="35">
        <f t="shared" si="34"/>
        <v>5639.3040000000001</v>
      </c>
      <c r="AI76" s="35">
        <f t="shared" si="34"/>
        <v>5639.3040000000001</v>
      </c>
      <c r="AJ76" s="35">
        <f t="shared" si="34"/>
        <v>5639.3040000000001</v>
      </c>
      <c r="AK76" s="35">
        <f t="shared" si="34"/>
        <v>5639.3040000000001</v>
      </c>
      <c r="AL76" s="35">
        <f t="shared" si="34"/>
        <v>5639.3040000000001</v>
      </c>
      <c r="AM76" s="36">
        <f t="shared" si="34"/>
        <v>5639.3040000000001</v>
      </c>
      <c r="AN76" s="33" t="str">
        <f t="shared" si="31"/>
        <v xml:space="preserve">  -  Ajud Limpeza</v>
      </c>
      <c r="AO76" s="37">
        <f t="shared" ref="AO76:AZ131" si="37">-(B76*26)*22</f>
        <v>-1144</v>
      </c>
      <c r="AP76" s="35">
        <f t="shared" si="37"/>
        <v>-1716</v>
      </c>
      <c r="AQ76" s="35">
        <f t="shared" si="37"/>
        <v>-1716</v>
      </c>
      <c r="AR76" s="35">
        <f t="shared" si="37"/>
        <v>-1716</v>
      </c>
      <c r="AS76" s="35">
        <f t="shared" si="37"/>
        <v>-1716</v>
      </c>
      <c r="AT76" s="35">
        <f t="shared" si="37"/>
        <v>-1716</v>
      </c>
      <c r="AU76" s="35">
        <f t="shared" si="37"/>
        <v>-1716</v>
      </c>
      <c r="AV76" s="35">
        <f t="shared" si="37"/>
        <v>-1716</v>
      </c>
      <c r="AW76" s="35">
        <f t="shared" si="37"/>
        <v>-1716</v>
      </c>
      <c r="AX76" s="35">
        <f t="shared" si="37"/>
        <v>-1716</v>
      </c>
      <c r="AY76" s="35">
        <f t="shared" si="37"/>
        <v>-1716</v>
      </c>
      <c r="AZ76" s="36">
        <f t="shared" si="37"/>
        <v>-1716</v>
      </c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</row>
    <row r="77" spans="1:69" x14ac:dyDescent="0.3">
      <c r="A77" s="33" t="s">
        <v>102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52" t="str">
        <f t="shared" si="28"/>
        <v xml:space="preserve">  -  Estoquista III</v>
      </c>
      <c r="O77" s="37"/>
      <c r="P77" s="35">
        <v>2847.6</v>
      </c>
      <c r="Q77" s="35">
        <v>2847.6</v>
      </c>
      <c r="R77" s="35">
        <v>2847.6</v>
      </c>
      <c r="S77" s="55">
        <f t="shared" si="36"/>
        <v>2967.1992</v>
      </c>
      <c r="T77" s="55">
        <f t="shared" si="36"/>
        <v>2967.1992</v>
      </c>
      <c r="U77" s="55">
        <f t="shared" si="36"/>
        <v>2967.1992</v>
      </c>
      <c r="V77" s="55">
        <f t="shared" si="36"/>
        <v>2967.1992</v>
      </c>
      <c r="W77" s="55">
        <f t="shared" si="36"/>
        <v>2967.1992</v>
      </c>
      <c r="X77" s="55">
        <f t="shared" si="36"/>
        <v>2967.1992</v>
      </c>
      <c r="Y77" s="55">
        <f t="shared" si="36"/>
        <v>2967.1992</v>
      </c>
      <c r="Z77" s="55">
        <f t="shared" si="36"/>
        <v>2967.1992</v>
      </c>
      <c r="AA77" s="52" t="str">
        <f t="shared" si="30"/>
        <v xml:space="preserve">  -  Estoquista III</v>
      </c>
      <c r="AB77" s="35">
        <f t="shared" si="35"/>
        <v>0</v>
      </c>
      <c r="AC77" s="35">
        <f t="shared" si="35"/>
        <v>0</v>
      </c>
      <c r="AD77" s="35">
        <f t="shared" si="35"/>
        <v>0</v>
      </c>
      <c r="AE77" s="35">
        <f t="shared" si="34"/>
        <v>0</v>
      </c>
      <c r="AF77" s="35">
        <f t="shared" si="34"/>
        <v>0</v>
      </c>
      <c r="AG77" s="35">
        <f t="shared" si="34"/>
        <v>0</v>
      </c>
      <c r="AH77" s="35">
        <f t="shared" si="34"/>
        <v>0</v>
      </c>
      <c r="AI77" s="35">
        <f t="shared" si="34"/>
        <v>0</v>
      </c>
      <c r="AJ77" s="35">
        <f t="shared" si="34"/>
        <v>0</v>
      </c>
      <c r="AK77" s="35">
        <f t="shared" si="34"/>
        <v>0</v>
      </c>
      <c r="AL77" s="35">
        <f t="shared" si="34"/>
        <v>0</v>
      </c>
      <c r="AM77" s="36">
        <f t="shared" si="34"/>
        <v>0</v>
      </c>
      <c r="AN77" s="33" t="str">
        <f t="shared" si="31"/>
        <v xml:space="preserve">  -  Estoquista III</v>
      </c>
      <c r="AO77" s="37">
        <f t="shared" si="37"/>
        <v>0</v>
      </c>
      <c r="AP77" s="35">
        <f t="shared" si="37"/>
        <v>0</v>
      </c>
      <c r="AQ77" s="35">
        <f t="shared" si="37"/>
        <v>0</v>
      </c>
      <c r="AR77" s="35">
        <f t="shared" si="37"/>
        <v>0</v>
      </c>
      <c r="AS77" s="35">
        <f t="shared" si="37"/>
        <v>0</v>
      </c>
      <c r="AT77" s="35">
        <f t="shared" si="37"/>
        <v>0</v>
      </c>
      <c r="AU77" s="35">
        <f t="shared" si="37"/>
        <v>0</v>
      </c>
      <c r="AV77" s="35">
        <f t="shared" si="37"/>
        <v>0</v>
      </c>
      <c r="AW77" s="35">
        <f t="shared" si="37"/>
        <v>0</v>
      </c>
      <c r="AX77" s="35">
        <f t="shared" si="37"/>
        <v>0</v>
      </c>
      <c r="AY77" s="35">
        <f t="shared" si="37"/>
        <v>0</v>
      </c>
      <c r="AZ77" s="36">
        <f t="shared" si="37"/>
        <v>0</v>
      </c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</row>
    <row r="78" spans="1:69" x14ac:dyDescent="0.3">
      <c r="A78" s="33" t="s">
        <v>103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52" t="str">
        <f t="shared" si="28"/>
        <v xml:space="preserve">  -  Estoquista II</v>
      </c>
      <c r="O78" s="37"/>
      <c r="P78" s="35">
        <v>2419.14</v>
      </c>
      <c r="Q78" s="35">
        <v>2419.14</v>
      </c>
      <c r="R78" s="35">
        <v>2419.14</v>
      </c>
      <c r="S78" s="55">
        <f t="shared" si="36"/>
        <v>2520.74388</v>
      </c>
      <c r="T78" s="55">
        <f t="shared" si="36"/>
        <v>2520.74388</v>
      </c>
      <c r="U78" s="55">
        <f t="shared" si="36"/>
        <v>2520.74388</v>
      </c>
      <c r="V78" s="55">
        <f t="shared" si="36"/>
        <v>2520.74388</v>
      </c>
      <c r="W78" s="55">
        <f t="shared" si="36"/>
        <v>2520.74388</v>
      </c>
      <c r="X78" s="55">
        <f t="shared" si="36"/>
        <v>2520.74388</v>
      </c>
      <c r="Y78" s="55">
        <f t="shared" si="36"/>
        <v>2520.74388</v>
      </c>
      <c r="Z78" s="55">
        <f t="shared" si="36"/>
        <v>2520.74388</v>
      </c>
      <c r="AA78" s="52" t="str">
        <f t="shared" si="30"/>
        <v xml:space="preserve">  -  Estoquista II</v>
      </c>
      <c r="AB78" s="35">
        <f t="shared" si="35"/>
        <v>0</v>
      </c>
      <c r="AC78" s="35">
        <f t="shared" si="35"/>
        <v>0</v>
      </c>
      <c r="AD78" s="35">
        <f t="shared" si="35"/>
        <v>0</v>
      </c>
      <c r="AE78" s="35">
        <f t="shared" si="34"/>
        <v>0</v>
      </c>
      <c r="AF78" s="35">
        <f t="shared" si="34"/>
        <v>0</v>
      </c>
      <c r="AG78" s="35">
        <f t="shared" si="34"/>
        <v>0</v>
      </c>
      <c r="AH78" s="35">
        <f t="shared" si="34"/>
        <v>0</v>
      </c>
      <c r="AI78" s="35">
        <f t="shared" si="34"/>
        <v>0</v>
      </c>
      <c r="AJ78" s="35">
        <f t="shared" si="34"/>
        <v>0</v>
      </c>
      <c r="AK78" s="35">
        <f t="shared" si="34"/>
        <v>0</v>
      </c>
      <c r="AL78" s="35">
        <f t="shared" si="34"/>
        <v>0</v>
      </c>
      <c r="AM78" s="36">
        <f t="shared" si="34"/>
        <v>0</v>
      </c>
      <c r="AN78" s="33" t="str">
        <f t="shared" si="31"/>
        <v xml:space="preserve">  -  Estoquista II</v>
      </c>
      <c r="AO78" s="37">
        <f t="shared" si="37"/>
        <v>0</v>
      </c>
      <c r="AP78" s="35">
        <f t="shared" si="37"/>
        <v>0</v>
      </c>
      <c r="AQ78" s="35">
        <f t="shared" si="37"/>
        <v>0</v>
      </c>
      <c r="AR78" s="35">
        <f t="shared" si="37"/>
        <v>0</v>
      </c>
      <c r="AS78" s="35">
        <f t="shared" si="37"/>
        <v>0</v>
      </c>
      <c r="AT78" s="35">
        <f t="shared" si="37"/>
        <v>0</v>
      </c>
      <c r="AU78" s="35">
        <f t="shared" si="37"/>
        <v>0</v>
      </c>
      <c r="AV78" s="35">
        <f t="shared" si="37"/>
        <v>0</v>
      </c>
      <c r="AW78" s="35">
        <f t="shared" si="37"/>
        <v>0</v>
      </c>
      <c r="AX78" s="35">
        <f t="shared" si="37"/>
        <v>0</v>
      </c>
      <c r="AY78" s="35">
        <f t="shared" si="37"/>
        <v>0</v>
      </c>
      <c r="AZ78" s="36">
        <f t="shared" si="37"/>
        <v>0</v>
      </c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</row>
    <row r="79" spans="1:69" x14ac:dyDescent="0.3">
      <c r="A79" s="33" t="s">
        <v>104</v>
      </c>
      <c r="B79" s="34">
        <v>2</v>
      </c>
      <c r="C79" s="34">
        <v>2</v>
      </c>
      <c r="D79" s="34">
        <v>2</v>
      </c>
      <c r="E79" s="34">
        <v>2</v>
      </c>
      <c r="F79" s="34">
        <v>2</v>
      </c>
      <c r="G79" s="34">
        <v>2</v>
      </c>
      <c r="H79" s="34">
        <v>2</v>
      </c>
      <c r="I79" s="34">
        <v>2</v>
      </c>
      <c r="J79" s="34">
        <v>2</v>
      </c>
      <c r="K79" s="34">
        <v>2</v>
      </c>
      <c r="L79" s="34">
        <v>2</v>
      </c>
      <c r="M79" s="34">
        <v>2</v>
      </c>
      <c r="N79" s="52" t="str">
        <f t="shared" si="28"/>
        <v xml:space="preserve">  -  Estoquista I</v>
      </c>
      <c r="O79" s="37">
        <v>2000</v>
      </c>
      <c r="P79" s="35">
        <v>2208.7800000000002</v>
      </c>
      <c r="Q79" s="35">
        <v>2208.7800000000002</v>
      </c>
      <c r="R79" s="35">
        <v>2208.7800000000002</v>
      </c>
      <c r="S79" s="55">
        <f t="shared" si="36"/>
        <v>2301.5487600000001</v>
      </c>
      <c r="T79" s="55">
        <f t="shared" si="36"/>
        <v>2301.5487600000001</v>
      </c>
      <c r="U79" s="55">
        <f t="shared" si="36"/>
        <v>2301.5487600000001</v>
      </c>
      <c r="V79" s="55">
        <f t="shared" si="36"/>
        <v>2301.5487600000001</v>
      </c>
      <c r="W79" s="55">
        <f t="shared" si="36"/>
        <v>2301.5487600000001</v>
      </c>
      <c r="X79" s="55">
        <f t="shared" si="36"/>
        <v>2301.5487600000001</v>
      </c>
      <c r="Y79" s="55">
        <f t="shared" si="36"/>
        <v>2301.5487600000001</v>
      </c>
      <c r="Z79" s="55">
        <f t="shared" si="36"/>
        <v>2301.5487600000001</v>
      </c>
      <c r="AA79" s="52" t="str">
        <f t="shared" si="30"/>
        <v xml:space="preserve">  -  Estoquista I</v>
      </c>
      <c r="AB79" s="35">
        <f t="shared" si="35"/>
        <v>4000</v>
      </c>
      <c r="AC79" s="35">
        <f t="shared" si="35"/>
        <v>4417.5600000000004</v>
      </c>
      <c r="AD79" s="35">
        <f t="shared" si="35"/>
        <v>4417.5600000000004</v>
      </c>
      <c r="AE79" s="35">
        <f t="shared" si="34"/>
        <v>4417.5600000000004</v>
      </c>
      <c r="AF79" s="35">
        <f t="shared" si="34"/>
        <v>4603.0975200000003</v>
      </c>
      <c r="AG79" s="35">
        <f t="shared" si="34"/>
        <v>4603.0975200000003</v>
      </c>
      <c r="AH79" s="35">
        <f t="shared" si="34"/>
        <v>4603.0975200000003</v>
      </c>
      <c r="AI79" s="35">
        <f t="shared" si="34"/>
        <v>4603.0975200000003</v>
      </c>
      <c r="AJ79" s="35">
        <f t="shared" si="34"/>
        <v>4603.0975200000003</v>
      </c>
      <c r="AK79" s="35">
        <f t="shared" si="34"/>
        <v>4603.0975200000003</v>
      </c>
      <c r="AL79" s="35">
        <f t="shared" si="34"/>
        <v>4603.0975200000003</v>
      </c>
      <c r="AM79" s="36">
        <f t="shared" si="34"/>
        <v>4603.0975200000003</v>
      </c>
      <c r="AN79" s="33" t="str">
        <f t="shared" si="31"/>
        <v xml:space="preserve">  -  Estoquista I</v>
      </c>
      <c r="AO79" s="37">
        <f t="shared" si="37"/>
        <v>-1144</v>
      </c>
      <c r="AP79" s="35">
        <f t="shared" si="37"/>
        <v>-1144</v>
      </c>
      <c r="AQ79" s="35">
        <f t="shared" si="37"/>
        <v>-1144</v>
      </c>
      <c r="AR79" s="35">
        <f t="shared" si="37"/>
        <v>-1144</v>
      </c>
      <c r="AS79" s="35">
        <f t="shared" si="37"/>
        <v>-1144</v>
      </c>
      <c r="AT79" s="35">
        <f t="shared" si="37"/>
        <v>-1144</v>
      </c>
      <c r="AU79" s="35">
        <f t="shared" si="37"/>
        <v>-1144</v>
      </c>
      <c r="AV79" s="35">
        <f t="shared" si="37"/>
        <v>-1144</v>
      </c>
      <c r="AW79" s="35">
        <f t="shared" si="37"/>
        <v>-1144</v>
      </c>
      <c r="AX79" s="35">
        <f t="shared" si="37"/>
        <v>-1144</v>
      </c>
      <c r="AY79" s="35">
        <f t="shared" si="37"/>
        <v>-1144</v>
      </c>
      <c r="AZ79" s="36">
        <f t="shared" si="37"/>
        <v>-1144</v>
      </c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</row>
    <row r="80" spans="1:69" x14ac:dyDescent="0.3">
      <c r="A80" s="33" t="s">
        <v>105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52" t="str">
        <f t="shared" si="28"/>
        <v xml:space="preserve">  -  Chefe de Manutenção</v>
      </c>
      <c r="O80" s="37"/>
      <c r="P80" s="35"/>
      <c r="Q80" s="35"/>
      <c r="R80" s="35"/>
      <c r="S80" s="55">
        <f t="shared" si="36"/>
        <v>0</v>
      </c>
      <c r="T80" s="55">
        <f t="shared" si="36"/>
        <v>0</v>
      </c>
      <c r="U80" s="55">
        <f t="shared" si="36"/>
        <v>0</v>
      </c>
      <c r="V80" s="55">
        <f t="shared" si="36"/>
        <v>0</v>
      </c>
      <c r="W80" s="55">
        <f t="shared" si="36"/>
        <v>0</v>
      </c>
      <c r="X80" s="55">
        <f t="shared" si="36"/>
        <v>0</v>
      </c>
      <c r="Y80" s="55">
        <f t="shared" si="36"/>
        <v>0</v>
      </c>
      <c r="Z80" s="55">
        <f t="shared" si="36"/>
        <v>0</v>
      </c>
      <c r="AA80" s="52" t="str">
        <f t="shared" si="30"/>
        <v xml:space="preserve">  -  Chefe de Manutenção</v>
      </c>
      <c r="AB80" s="35">
        <f t="shared" si="35"/>
        <v>0</v>
      </c>
      <c r="AC80" s="35">
        <f t="shared" si="35"/>
        <v>0</v>
      </c>
      <c r="AD80" s="35">
        <f t="shared" si="35"/>
        <v>0</v>
      </c>
      <c r="AE80" s="35">
        <f t="shared" si="34"/>
        <v>0</v>
      </c>
      <c r="AF80" s="35">
        <f t="shared" si="34"/>
        <v>0</v>
      </c>
      <c r="AG80" s="35">
        <f t="shared" si="34"/>
        <v>0</v>
      </c>
      <c r="AH80" s="35">
        <f t="shared" si="34"/>
        <v>0</v>
      </c>
      <c r="AI80" s="35">
        <f t="shared" si="34"/>
        <v>0</v>
      </c>
      <c r="AJ80" s="35">
        <f t="shared" si="34"/>
        <v>0</v>
      </c>
      <c r="AK80" s="35">
        <f t="shared" si="34"/>
        <v>0</v>
      </c>
      <c r="AL80" s="35">
        <f t="shared" si="34"/>
        <v>0</v>
      </c>
      <c r="AM80" s="36">
        <f t="shared" si="34"/>
        <v>0</v>
      </c>
      <c r="AN80" s="33" t="str">
        <f t="shared" si="31"/>
        <v xml:space="preserve">  -  Chefe de Manutenção</v>
      </c>
      <c r="AO80" s="37">
        <f t="shared" si="37"/>
        <v>0</v>
      </c>
      <c r="AP80" s="35">
        <f t="shared" si="37"/>
        <v>0</v>
      </c>
      <c r="AQ80" s="35">
        <f t="shared" si="37"/>
        <v>0</v>
      </c>
      <c r="AR80" s="35">
        <f t="shared" si="37"/>
        <v>0</v>
      </c>
      <c r="AS80" s="35">
        <f t="shared" si="37"/>
        <v>0</v>
      </c>
      <c r="AT80" s="35">
        <f t="shared" si="37"/>
        <v>0</v>
      </c>
      <c r="AU80" s="35">
        <f t="shared" si="37"/>
        <v>0</v>
      </c>
      <c r="AV80" s="35">
        <f t="shared" si="37"/>
        <v>0</v>
      </c>
      <c r="AW80" s="35">
        <f t="shared" si="37"/>
        <v>0</v>
      </c>
      <c r="AX80" s="35">
        <f t="shared" si="37"/>
        <v>0</v>
      </c>
      <c r="AY80" s="35">
        <f t="shared" si="37"/>
        <v>0</v>
      </c>
      <c r="AZ80" s="36">
        <f t="shared" si="37"/>
        <v>0</v>
      </c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</row>
    <row r="81" spans="1:69" x14ac:dyDescent="0.3">
      <c r="A81" s="33" t="s">
        <v>106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52" t="str">
        <f t="shared" si="28"/>
        <v xml:space="preserve">  -  Aux. Manutenção III</v>
      </c>
      <c r="O81" s="37"/>
      <c r="P81" s="35">
        <v>3758.59</v>
      </c>
      <c r="Q81" s="35">
        <v>3758.59</v>
      </c>
      <c r="R81" s="35">
        <v>3758.59</v>
      </c>
      <c r="S81" s="55">
        <f t="shared" si="36"/>
        <v>3916.4507800000001</v>
      </c>
      <c r="T81" s="55">
        <f t="shared" si="36"/>
        <v>3916.4507800000001</v>
      </c>
      <c r="U81" s="55">
        <f t="shared" si="36"/>
        <v>3916.4507800000001</v>
      </c>
      <c r="V81" s="55">
        <f t="shared" si="36"/>
        <v>3916.4507800000001</v>
      </c>
      <c r="W81" s="55">
        <f t="shared" si="36"/>
        <v>3916.4507800000001</v>
      </c>
      <c r="X81" s="55">
        <f t="shared" si="36"/>
        <v>3916.4507800000001</v>
      </c>
      <c r="Y81" s="55">
        <f t="shared" si="36"/>
        <v>3916.4507800000001</v>
      </c>
      <c r="Z81" s="55">
        <f t="shared" si="36"/>
        <v>3916.4507800000001</v>
      </c>
      <c r="AA81" s="52" t="str">
        <f t="shared" si="30"/>
        <v xml:space="preserve">  -  Aux. Manutenção III</v>
      </c>
      <c r="AB81" s="35">
        <f t="shared" si="35"/>
        <v>0</v>
      </c>
      <c r="AC81" s="35">
        <f t="shared" si="35"/>
        <v>0</v>
      </c>
      <c r="AD81" s="35">
        <f t="shared" si="35"/>
        <v>0</v>
      </c>
      <c r="AE81" s="35">
        <f t="shared" si="34"/>
        <v>0</v>
      </c>
      <c r="AF81" s="35">
        <f t="shared" si="34"/>
        <v>0</v>
      </c>
      <c r="AG81" s="35">
        <f t="shared" si="34"/>
        <v>0</v>
      </c>
      <c r="AH81" s="35">
        <f t="shared" si="34"/>
        <v>0</v>
      </c>
      <c r="AI81" s="35">
        <f t="shared" si="34"/>
        <v>0</v>
      </c>
      <c r="AJ81" s="35">
        <f t="shared" si="34"/>
        <v>0</v>
      </c>
      <c r="AK81" s="35">
        <f t="shared" si="34"/>
        <v>0</v>
      </c>
      <c r="AL81" s="35">
        <f t="shared" si="34"/>
        <v>0</v>
      </c>
      <c r="AM81" s="36">
        <f t="shared" si="34"/>
        <v>0</v>
      </c>
      <c r="AN81" s="33" t="str">
        <f t="shared" si="31"/>
        <v xml:space="preserve">  -  Aux. Manutenção III</v>
      </c>
      <c r="AO81" s="37">
        <f t="shared" si="37"/>
        <v>0</v>
      </c>
      <c r="AP81" s="35">
        <f t="shared" si="37"/>
        <v>0</v>
      </c>
      <c r="AQ81" s="35">
        <f t="shared" si="37"/>
        <v>0</v>
      </c>
      <c r="AR81" s="35">
        <f t="shared" si="37"/>
        <v>0</v>
      </c>
      <c r="AS81" s="35">
        <f t="shared" si="37"/>
        <v>0</v>
      </c>
      <c r="AT81" s="35">
        <f t="shared" si="37"/>
        <v>0</v>
      </c>
      <c r="AU81" s="35">
        <f t="shared" si="37"/>
        <v>0</v>
      </c>
      <c r="AV81" s="35">
        <f t="shared" si="37"/>
        <v>0</v>
      </c>
      <c r="AW81" s="35">
        <f t="shared" si="37"/>
        <v>0</v>
      </c>
      <c r="AX81" s="35">
        <f t="shared" si="37"/>
        <v>0</v>
      </c>
      <c r="AY81" s="35">
        <f t="shared" si="37"/>
        <v>0</v>
      </c>
      <c r="AZ81" s="36">
        <f t="shared" si="37"/>
        <v>0</v>
      </c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</row>
    <row r="82" spans="1:69" x14ac:dyDescent="0.3">
      <c r="A82" s="33" t="s">
        <v>107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52" t="str">
        <f t="shared" si="28"/>
        <v xml:space="preserve">  -  Aux. Manutenção II</v>
      </c>
      <c r="O82" s="37"/>
      <c r="P82" s="35">
        <v>2419.14</v>
      </c>
      <c r="Q82" s="35">
        <v>2419.14</v>
      </c>
      <c r="R82" s="35">
        <v>2419.14</v>
      </c>
      <c r="S82" s="55">
        <f t="shared" si="36"/>
        <v>2520.74388</v>
      </c>
      <c r="T82" s="55">
        <f t="shared" si="36"/>
        <v>2520.74388</v>
      </c>
      <c r="U82" s="55">
        <f t="shared" si="36"/>
        <v>2520.74388</v>
      </c>
      <c r="V82" s="55">
        <f t="shared" si="36"/>
        <v>2520.74388</v>
      </c>
      <c r="W82" s="55">
        <f t="shared" si="36"/>
        <v>2520.74388</v>
      </c>
      <c r="X82" s="55">
        <f t="shared" si="36"/>
        <v>2520.74388</v>
      </c>
      <c r="Y82" s="55">
        <f t="shared" si="36"/>
        <v>2520.74388</v>
      </c>
      <c r="Z82" s="55">
        <f t="shared" si="36"/>
        <v>2520.74388</v>
      </c>
      <c r="AA82" s="52" t="str">
        <f t="shared" si="30"/>
        <v xml:space="preserve">  -  Aux. Manutenção II</v>
      </c>
      <c r="AB82" s="35">
        <f t="shared" si="35"/>
        <v>0</v>
      </c>
      <c r="AC82" s="35">
        <f t="shared" si="35"/>
        <v>0</v>
      </c>
      <c r="AD82" s="35">
        <f t="shared" si="35"/>
        <v>0</v>
      </c>
      <c r="AE82" s="35">
        <f t="shared" si="34"/>
        <v>0</v>
      </c>
      <c r="AF82" s="35">
        <f t="shared" si="34"/>
        <v>0</v>
      </c>
      <c r="AG82" s="35">
        <f t="shared" si="34"/>
        <v>0</v>
      </c>
      <c r="AH82" s="35">
        <f t="shared" si="34"/>
        <v>0</v>
      </c>
      <c r="AI82" s="35">
        <f t="shared" si="34"/>
        <v>0</v>
      </c>
      <c r="AJ82" s="35">
        <f t="shared" si="34"/>
        <v>0</v>
      </c>
      <c r="AK82" s="35">
        <f t="shared" si="34"/>
        <v>0</v>
      </c>
      <c r="AL82" s="35">
        <f t="shared" si="34"/>
        <v>0</v>
      </c>
      <c r="AM82" s="36">
        <f t="shared" si="34"/>
        <v>0</v>
      </c>
      <c r="AN82" s="33" t="str">
        <f t="shared" si="31"/>
        <v xml:space="preserve">  -  Aux. Manutenção II</v>
      </c>
      <c r="AO82" s="37">
        <f t="shared" si="37"/>
        <v>0</v>
      </c>
      <c r="AP82" s="35">
        <f t="shared" si="37"/>
        <v>0</v>
      </c>
      <c r="AQ82" s="35">
        <f t="shared" si="37"/>
        <v>0</v>
      </c>
      <c r="AR82" s="35">
        <f t="shared" si="37"/>
        <v>0</v>
      </c>
      <c r="AS82" s="35">
        <f t="shared" si="37"/>
        <v>0</v>
      </c>
      <c r="AT82" s="35">
        <f t="shared" si="37"/>
        <v>0</v>
      </c>
      <c r="AU82" s="35">
        <f t="shared" si="37"/>
        <v>0</v>
      </c>
      <c r="AV82" s="35">
        <f t="shared" si="37"/>
        <v>0</v>
      </c>
      <c r="AW82" s="35">
        <f t="shared" si="37"/>
        <v>0</v>
      </c>
      <c r="AX82" s="35">
        <f t="shared" si="37"/>
        <v>0</v>
      </c>
      <c r="AY82" s="35">
        <f t="shared" si="37"/>
        <v>0</v>
      </c>
      <c r="AZ82" s="36">
        <f t="shared" si="37"/>
        <v>0</v>
      </c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</row>
    <row r="83" spans="1:69" x14ac:dyDescent="0.3">
      <c r="A83" s="33" t="s">
        <v>108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52" t="str">
        <f t="shared" si="28"/>
        <v xml:space="preserve">  -  Aux. Manutenção I</v>
      </c>
      <c r="O83" s="37"/>
      <c r="P83" s="35">
        <v>2208.7800000000002</v>
      </c>
      <c r="Q83" s="35">
        <v>2208.7800000000002</v>
      </c>
      <c r="R83" s="35">
        <v>2208.7800000000002</v>
      </c>
      <c r="S83" s="55">
        <f t="shared" si="36"/>
        <v>2301.5487600000001</v>
      </c>
      <c r="T83" s="55">
        <f t="shared" si="36"/>
        <v>2301.5487600000001</v>
      </c>
      <c r="U83" s="55">
        <f t="shared" si="36"/>
        <v>2301.5487600000001</v>
      </c>
      <c r="V83" s="55">
        <f t="shared" si="36"/>
        <v>2301.5487600000001</v>
      </c>
      <c r="W83" s="55">
        <f t="shared" si="36"/>
        <v>2301.5487600000001</v>
      </c>
      <c r="X83" s="55">
        <f t="shared" si="36"/>
        <v>2301.5487600000001</v>
      </c>
      <c r="Y83" s="55">
        <f t="shared" si="36"/>
        <v>2301.5487600000001</v>
      </c>
      <c r="Z83" s="55">
        <f t="shared" si="36"/>
        <v>2301.5487600000001</v>
      </c>
      <c r="AA83" s="52" t="str">
        <f t="shared" si="30"/>
        <v xml:space="preserve">  -  Aux. Manutenção I</v>
      </c>
      <c r="AB83" s="35">
        <f t="shared" si="35"/>
        <v>0</v>
      </c>
      <c r="AC83" s="35">
        <f t="shared" si="35"/>
        <v>0</v>
      </c>
      <c r="AD83" s="35">
        <f t="shared" si="35"/>
        <v>0</v>
      </c>
      <c r="AE83" s="35">
        <f t="shared" si="34"/>
        <v>0</v>
      </c>
      <c r="AF83" s="35">
        <f t="shared" si="34"/>
        <v>0</v>
      </c>
      <c r="AG83" s="35">
        <f t="shared" si="34"/>
        <v>0</v>
      </c>
      <c r="AH83" s="35">
        <f t="shared" si="34"/>
        <v>0</v>
      </c>
      <c r="AI83" s="35">
        <f t="shared" si="34"/>
        <v>0</v>
      </c>
      <c r="AJ83" s="35">
        <f t="shared" si="34"/>
        <v>0</v>
      </c>
      <c r="AK83" s="35">
        <f t="shared" si="34"/>
        <v>0</v>
      </c>
      <c r="AL83" s="35">
        <f t="shared" si="34"/>
        <v>0</v>
      </c>
      <c r="AM83" s="36">
        <f t="shared" si="34"/>
        <v>0</v>
      </c>
      <c r="AN83" s="33" t="str">
        <f t="shared" si="31"/>
        <v xml:space="preserve">  -  Aux. Manutenção I</v>
      </c>
      <c r="AO83" s="37">
        <f t="shared" si="37"/>
        <v>0</v>
      </c>
      <c r="AP83" s="35">
        <f t="shared" si="37"/>
        <v>0</v>
      </c>
      <c r="AQ83" s="35">
        <f t="shared" si="37"/>
        <v>0</v>
      </c>
      <c r="AR83" s="35">
        <f t="shared" si="37"/>
        <v>0</v>
      </c>
      <c r="AS83" s="35">
        <f t="shared" si="37"/>
        <v>0</v>
      </c>
      <c r="AT83" s="35">
        <f t="shared" si="37"/>
        <v>0</v>
      </c>
      <c r="AU83" s="35">
        <f t="shared" si="37"/>
        <v>0</v>
      </c>
      <c r="AV83" s="35">
        <f t="shared" si="37"/>
        <v>0</v>
      </c>
      <c r="AW83" s="35">
        <f t="shared" si="37"/>
        <v>0</v>
      </c>
      <c r="AX83" s="35">
        <f t="shared" si="37"/>
        <v>0</v>
      </c>
      <c r="AY83" s="35">
        <f t="shared" si="37"/>
        <v>0</v>
      </c>
      <c r="AZ83" s="36">
        <f t="shared" si="37"/>
        <v>0</v>
      </c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</row>
    <row r="84" spans="1:69" x14ac:dyDescent="0.3">
      <c r="A84" s="33" t="s">
        <v>109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52" t="str">
        <f t="shared" si="28"/>
        <v xml:space="preserve">  -  Chefe da Portaria</v>
      </c>
      <c r="O84" s="37"/>
      <c r="P84" s="35">
        <v>3440.07</v>
      </c>
      <c r="Q84" s="35">
        <v>3440.07</v>
      </c>
      <c r="R84" s="35">
        <v>3440.07</v>
      </c>
      <c r="S84" s="55">
        <f t="shared" si="36"/>
        <v>3584.55294</v>
      </c>
      <c r="T84" s="55">
        <f t="shared" si="36"/>
        <v>3584.55294</v>
      </c>
      <c r="U84" s="55">
        <f t="shared" si="36"/>
        <v>3584.55294</v>
      </c>
      <c r="V84" s="55">
        <f t="shared" si="36"/>
        <v>3584.55294</v>
      </c>
      <c r="W84" s="55">
        <f t="shared" si="36"/>
        <v>3584.55294</v>
      </c>
      <c r="X84" s="55">
        <f t="shared" si="36"/>
        <v>3584.55294</v>
      </c>
      <c r="Y84" s="55">
        <f t="shared" si="36"/>
        <v>3584.55294</v>
      </c>
      <c r="Z84" s="55">
        <f t="shared" si="36"/>
        <v>3584.55294</v>
      </c>
      <c r="AA84" s="52" t="str">
        <f t="shared" si="30"/>
        <v xml:space="preserve">  -  Chefe da Portaria</v>
      </c>
      <c r="AB84" s="35">
        <f t="shared" si="35"/>
        <v>0</v>
      </c>
      <c r="AC84" s="35">
        <f t="shared" si="35"/>
        <v>0</v>
      </c>
      <c r="AD84" s="35">
        <f t="shared" si="35"/>
        <v>0</v>
      </c>
      <c r="AE84" s="35">
        <f t="shared" si="34"/>
        <v>0</v>
      </c>
      <c r="AF84" s="35">
        <f t="shared" si="34"/>
        <v>0</v>
      </c>
      <c r="AG84" s="35">
        <f t="shared" si="34"/>
        <v>0</v>
      </c>
      <c r="AH84" s="35">
        <f t="shared" si="34"/>
        <v>0</v>
      </c>
      <c r="AI84" s="35">
        <f t="shared" si="34"/>
        <v>0</v>
      </c>
      <c r="AJ84" s="35">
        <f t="shared" si="34"/>
        <v>0</v>
      </c>
      <c r="AK84" s="35">
        <f t="shared" si="34"/>
        <v>0</v>
      </c>
      <c r="AL84" s="35">
        <f t="shared" si="34"/>
        <v>0</v>
      </c>
      <c r="AM84" s="36">
        <f t="shared" si="34"/>
        <v>0</v>
      </c>
      <c r="AN84" s="33" t="str">
        <f t="shared" si="31"/>
        <v xml:space="preserve">  -  Chefe da Portaria</v>
      </c>
      <c r="AO84" s="37">
        <f t="shared" si="37"/>
        <v>0</v>
      </c>
      <c r="AP84" s="35">
        <f t="shared" si="37"/>
        <v>0</v>
      </c>
      <c r="AQ84" s="35">
        <f t="shared" si="37"/>
        <v>0</v>
      </c>
      <c r="AR84" s="35">
        <f t="shared" si="37"/>
        <v>0</v>
      </c>
      <c r="AS84" s="35">
        <f t="shared" si="37"/>
        <v>0</v>
      </c>
      <c r="AT84" s="35">
        <f t="shared" si="37"/>
        <v>0</v>
      </c>
      <c r="AU84" s="35">
        <f t="shared" si="37"/>
        <v>0</v>
      </c>
      <c r="AV84" s="35">
        <f t="shared" si="37"/>
        <v>0</v>
      </c>
      <c r="AW84" s="35">
        <f t="shared" si="37"/>
        <v>0</v>
      </c>
      <c r="AX84" s="35">
        <f t="shared" si="37"/>
        <v>0</v>
      </c>
      <c r="AY84" s="35">
        <f t="shared" si="37"/>
        <v>0</v>
      </c>
      <c r="AZ84" s="36">
        <f t="shared" si="37"/>
        <v>0</v>
      </c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</row>
    <row r="85" spans="1:69" x14ac:dyDescent="0.3">
      <c r="A85" s="33" t="s">
        <v>110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52" t="str">
        <f t="shared" si="28"/>
        <v xml:space="preserve">  -  Porteiro III</v>
      </c>
      <c r="O85" s="37"/>
      <c r="P85" s="35">
        <v>2619.54</v>
      </c>
      <c r="Q85" s="35">
        <v>2619.54</v>
      </c>
      <c r="R85" s="35">
        <v>2619.54</v>
      </c>
      <c r="S85" s="55">
        <f t="shared" si="36"/>
        <v>2729.56068</v>
      </c>
      <c r="T85" s="55">
        <f t="shared" si="36"/>
        <v>2729.56068</v>
      </c>
      <c r="U85" s="55">
        <f t="shared" si="36"/>
        <v>2729.56068</v>
      </c>
      <c r="V85" s="55">
        <f t="shared" si="36"/>
        <v>2729.56068</v>
      </c>
      <c r="W85" s="55">
        <f t="shared" si="36"/>
        <v>2729.56068</v>
      </c>
      <c r="X85" s="55">
        <f t="shared" si="36"/>
        <v>2729.56068</v>
      </c>
      <c r="Y85" s="55">
        <f t="shared" si="36"/>
        <v>2729.56068</v>
      </c>
      <c r="Z85" s="55">
        <f t="shared" si="36"/>
        <v>2729.56068</v>
      </c>
      <c r="AA85" s="52" t="str">
        <f t="shared" si="30"/>
        <v xml:space="preserve">  -  Porteiro III</v>
      </c>
      <c r="AB85" s="35">
        <f t="shared" si="35"/>
        <v>0</v>
      </c>
      <c r="AC85" s="35">
        <f t="shared" si="35"/>
        <v>0</v>
      </c>
      <c r="AD85" s="35">
        <f t="shared" si="35"/>
        <v>0</v>
      </c>
      <c r="AE85" s="35">
        <f t="shared" si="34"/>
        <v>0</v>
      </c>
      <c r="AF85" s="35">
        <f t="shared" si="34"/>
        <v>0</v>
      </c>
      <c r="AG85" s="35">
        <f t="shared" si="34"/>
        <v>0</v>
      </c>
      <c r="AH85" s="35">
        <f t="shared" si="34"/>
        <v>0</v>
      </c>
      <c r="AI85" s="35">
        <f t="shared" si="34"/>
        <v>0</v>
      </c>
      <c r="AJ85" s="35">
        <f t="shared" si="34"/>
        <v>0</v>
      </c>
      <c r="AK85" s="35">
        <f t="shared" si="34"/>
        <v>0</v>
      </c>
      <c r="AL85" s="35">
        <f t="shared" si="34"/>
        <v>0</v>
      </c>
      <c r="AM85" s="36">
        <f t="shared" si="34"/>
        <v>0</v>
      </c>
      <c r="AN85" s="33" t="str">
        <f t="shared" si="31"/>
        <v xml:space="preserve">  -  Porteiro III</v>
      </c>
      <c r="AO85" s="37">
        <f t="shared" si="37"/>
        <v>0</v>
      </c>
      <c r="AP85" s="35">
        <f t="shared" si="37"/>
        <v>0</v>
      </c>
      <c r="AQ85" s="35">
        <f t="shared" si="37"/>
        <v>0</v>
      </c>
      <c r="AR85" s="35">
        <f t="shared" si="37"/>
        <v>0</v>
      </c>
      <c r="AS85" s="35">
        <f t="shared" si="37"/>
        <v>0</v>
      </c>
      <c r="AT85" s="35">
        <f t="shared" si="37"/>
        <v>0</v>
      </c>
      <c r="AU85" s="35">
        <f t="shared" si="37"/>
        <v>0</v>
      </c>
      <c r="AV85" s="35">
        <f t="shared" si="37"/>
        <v>0</v>
      </c>
      <c r="AW85" s="35">
        <f t="shared" si="37"/>
        <v>0</v>
      </c>
      <c r="AX85" s="35">
        <f t="shared" si="37"/>
        <v>0</v>
      </c>
      <c r="AY85" s="35">
        <f t="shared" si="37"/>
        <v>0</v>
      </c>
      <c r="AZ85" s="36">
        <f t="shared" si="37"/>
        <v>0</v>
      </c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</row>
    <row r="86" spans="1:69" x14ac:dyDescent="0.3">
      <c r="A86" s="33" t="s">
        <v>111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52" t="str">
        <f t="shared" si="28"/>
        <v xml:space="preserve">  -  Porteiro II</v>
      </c>
      <c r="O86" s="37"/>
      <c r="P86" s="35">
        <v>1938.56</v>
      </c>
      <c r="Q86" s="35">
        <v>1938.56</v>
      </c>
      <c r="R86" s="35">
        <v>1938.56</v>
      </c>
      <c r="S86" s="55">
        <f t="shared" si="36"/>
        <v>2019.9795199999999</v>
      </c>
      <c r="T86" s="55">
        <f t="shared" si="36"/>
        <v>2019.9795199999999</v>
      </c>
      <c r="U86" s="55">
        <f t="shared" si="36"/>
        <v>2019.9795199999999</v>
      </c>
      <c r="V86" s="55">
        <f t="shared" si="36"/>
        <v>2019.9795199999999</v>
      </c>
      <c r="W86" s="55">
        <f t="shared" si="36"/>
        <v>2019.9795199999999</v>
      </c>
      <c r="X86" s="55">
        <f t="shared" si="36"/>
        <v>2019.9795199999999</v>
      </c>
      <c r="Y86" s="55">
        <f t="shared" si="36"/>
        <v>2019.9795199999999</v>
      </c>
      <c r="Z86" s="55">
        <f t="shared" si="36"/>
        <v>2019.9795199999999</v>
      </c>
      <c r="AA86" s="52" t="str">
        <f t="shared" si="30"/>
        <v xml:space="preserve">  -  Porteiro II</v>
      </c>
      <c r="AB86" s="35">
        <f t="shared" si="35"/>
        <v>0</v>
      </c>
      <c r="AC86" s="35">
        <f t="shared" si="35"/>
        <v>0</v>
      </c>
      <c r="AD86" s="35">
        <f t="shared" si="35"/>
        <v>0</v>
      </c>
      <c r="AE86" s="35">
        <f t="shared" si="34"/>
        <v>0</v>
      </c>
      <c r="AF86" s="35">
        <f t="shared" si="34"/>
        <v>0</v>
      </c>
      <c r="AG86" s="35">
        <f t="shared" si="34"/>
        <v>0</v>
      </c>
      <c r="AH86" s="35">
        <f t="shared" si="34"/>
        <v>0</v>
      </c>
      <c r="AI86" s="35">
        <f t="shared" si="34"/>
        <v>0</v>
      </c>
      <c r="AJ86" s="35">
        <f t="shared" si="34"/>
        <v>0</v>
      </c>
      <c r="AK86" s="35">
        <f t="shared" si="34"/>
        <v>0</v>
      </c>
      <c r="AL86" s="35">
        <f t="shared" si="34"/>
        <v>0</v>
      </c>
      <c r="AM86" s="36">
        <f t="shared" si="34"/>
        <v>0</v>
      </c>
      <c r="AN86" s="33" t="str">
        <f t="shared" si="31"/>
        <v xml:space="preserve">  -  Porteiro II</v>
      </c>
      <c r="AO86" s="37">
        <f t="shared" si="37"/>
        <v>0</v>
      </c>
      <c r="AP86" s="35">
        <f t="shared" si="37"/>
        <v>0</v>
      </c>
      <c r="AQ86" s="35">
        <f t="shared" si="37"/>
        <v>0</v>
      </c>
      <c r="AR86" s="35">
        <f t="shared" si="37"/>
        <v>0</v>
      </c>
      <c r="AS86" s="35">
        <f t="shared" si="37"/>
        <v>0</v>
      </c>
      <c r="AT86" s="35">
        <f t="shared" si="37"/>
        <v>0</v>
      </c>
      <c r="AU86" s="35">
        <f t="shared" si="37"/>
        <v>0</v>
      </c>
      <c r="AV86" s="35">
        <f t="shared" si="37"/>
        <v>0</v>
      </c>
      <c r="AW86" s="35">
        <f t="shared" si="37"/>
        <v>0</v>
      </c>
      <c r="AX86" s="35">
        <f t="shared" si="37"/>
        <v>0</v>
      </c>
      <c r="AY86" s="35">
        <f t="shared" si="37"/>
        <v>0</v>
      </c>
      <c r="AZ86" s="36">
        <f t="shared" si="37"/>
        <v>0</v>
      </c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</row>
    <row r="87" spans="1:69" x14ac:dyDescent="0.3">
      <c r="A87" s="33" t="s">
        <v>112</v>
      </c>
      <c r="B87" s="34">
        <v>2</v>
      </c>
      <c r="C87" s="34">
        <v>2</v>
      </c>
      <c r="D87" s="34">
        <v>2</v>
      </c>
      <c r="E87" s="34">
        <v>2</v>
      </c>
      <c r="F87" s="34">
        <v>2</v>
      </c>
      <c r="G87" s="34">
        <v>2</v>
      </c>
      <c r="H87" s="34">
        <v>2</v>
      </c>
      <c r="I87" s="34">
        <v>2</v>
      </c>
      <c r="J87" s="34">
        <v>2</v>
      </c>
      <c r="K87" s="34">
        <v>2</v>
      </c>
      <c r="L87" s="34">
        <v>2</v>
      </c>
      <c r="M87" s="34">
        <v>2</v>
      </c>
      <c r="N87" s="52" t="str">
        <f t="shared" si="28"/>
        <v xml:space="preserve">  -  Porteiro I</v>
      </c>
      <c r="O87" s="37">
        <v>2000</v>
      </c>
      <c r="P87" s="35">
        <v>1804</v>
      </c>
      <c r="Q87" s="35">
        <v>1804</v>
      </c>
      <c r="R87" s="35">
        <v>1804</v>
      </c>
      <c r="S87" s="55">
        <f t="shared" si="36"/>
        <v>1879.768</v>
      </c>
      <c r="T87" s="55">
        <f t="shared" si="36"/>
        <v>1879.768</v>
      </c>
      <c r="U87" s="55">
        <f t="shared" si="36"/>
        <v>1879.768</v>
      </c>
      <c r="V87" s="55">
        <f t="shared" si="36"/>
        <v>1879.768</v>
      </c>
      <c r="W87" s="55">
        <f t="shared" si="36"/>
        <v>1879.768</v>
      </c>
      <c r="X87" s="55">
        <f t="shared" si="36"/>
        <v>1879.768</v>
      </c>
      <c r="Y87" s="55">
        <f t="shared" si="36"/>
        <v>1879.768</v>
      </c>
      <c r="Z87" s="55">
        <f t="shared" si="36"/>
        <v>1879.768</v>
      </c>
      <c r="AA87" s="52" t="str">
        <f t="shared" si="30"/>
        <v xml:space="preserve">  -  Porteiro I</v>
      </c>
      <c r="AB87" s="35">
        <f t="shared" si="35"/>
        <v>4000</v>
      </c>
      <c r="AC87" s="35">
        <f t="shared" si="35"/>
        <v>3608</v>
      </c>
      <c r="AD87" s="35">
        <f t="shared" si="35"/>
        <v>3608</v>
      </c>
      <c r="AE87" s="35">
        <f t="shared" si="34"/>
        <v>3608</v>
      </c>
      <c r="AF87" s="35">
        <f t="shared" si="34"/>
        <v>3759.5360000000001</v>
      </c>
      <c r="AG87" s="35">
        <f t="shared" si="34"/>
        <v>3759.5360000000001</v>
      </c>
      <c r="AH87" s="35">
        <f t="shared" si="34"/>
        <v>3759.5360000000001</v>
      </c>
      <c r="AI87" s="35">
        <f t="shared" si="34"/>
        <v>3759.5360000000001</v>
      </c>
      <c r="AJ87" s="35">
        <f t="shared" si="34"/>
        <v>3759.5360000000001</v>
      </c>
      <c r="AK87" s="35">
        <f t="shared" si="34"/>
        <v>3759.5360000000001</v>
      </c>
      <c r="AL87" s="35">
        <f t="shared" si="34"/>
        <v>3759.5360000000001</v>
      </c>
      <c r="AM87" s="36">
        <f t="shared" si="34"/>
        <v>3759.5360000000001</v>
      </c>
      <c r="AN87" s="33" t="str">
        <f t="shared" si="31"/>
        <v xml:space="preserve">  -  Porteiro I</v>
      </c>
      <c r="AO87" s="37">
        <f t="shared" si="37"/>
        <v>-1144</v>
      </c>
      <c r="AP87" s="35">
        <f t="shared" si="37"/>
        <v>-1144</v>
      </c>
      <c r="AQ87" s="35">
        <f t="shared" si="37"/>
        <v>-1144</v>
      </c>
      <c r="AR87" s="35">
        <f t="shared" si="37"/>
        <v>-1144</v>
      </c>
      <c r="AS87" s="35">
        <f t="shared" si="37"/>
        <v>-1144</v>
      </c>
      <c r="AT87" s="35">
        <f t="shared" si="37"/>
        <v>-1144</v>
      </c>
      <c r="AU87" s="35">
        <f t="shared" si="37"/>
        <v>-1144</v>
      </c>
      <c r="AV87" s="35">
        <f t="shared" si="37"/>
        <v>-1144</v>
      </c>
      <c r="AW87" s="35">
        <f t="shared" si="37"/>
        <v>-1144</v>
      </c>
      <c r="AX87" s="35">
        <f t="shared" si="37"/>
        <v>-1144</v>
      </c>
      <c r="AY87" s="35">
        <f t="shared" si="37"/>
        <v>-1144</v>
      </c>
      <c r="AZ87" s="36">
        <f t="shared" si="37"/>
        <v>-1144</v>
      </c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</row>
    <row r="88" spans="1:69" x14ac:dyDescent="0.3">
      <c r="A88" s="33" t="s">
        <v>113</v>
      </c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52" t="str">
        <f t="shared" si="28"/>
        <v xml:space="preserve">  -  Hostess III</v>
      </c>
      <c r="O88" s="37"/>
      <c r="P88" s="35">
        <v>2619.54</v>
      </c>
      <c r="Q88" s="35">
        <v>2619.54</v>
      </c>
      <c r="R88" s="35">
        <v>2619.54</v>
      </c>
      <c r="S88" s="55">
        <f t="shared" si="36"/>
        <v>2729.56068</v>
      </c>
      <c r="T88" s="55">
        <f t="shared" si="36"/>
        <v>2729.56068</v>
      </c>
      <c r="U88" s="55">
        <f t="shared" si="36"/>
        <v>2729.56068</v>
      </c>
      <c r="V88" s="55">
        <f t="shared" si="36"/>
        <v>2729.56068</v>
      </c>
      <c r="W88" s="55">
        <f t="shared" si="36"/>
        <v>2729.56068</v>
      </c>
      <c r="X88" s="55">
        <f t="shared" si="36"/>
        <v>2729.56068</v>
      </c>
      <c r="Y88" s="55">
        <f t="shared" si="36"/>
        <v>2729.56068</v>
      </c>
      <c r="Z88" s="55">
        <f t="shared" si="36"/>
        <v>2729.56068</v>
      </c>
      <c r="AA88" s="52" t="str">
        <f t="shared" si="30"/>
        <v xml:space="preserve">  -  Hostess III</v>
      </c>
      <c r="AB88" s="35">
        <f t="shared" si="35"/>
        <v>0</v>
      </c>
      <c r="AC88" s="35">
        <f t="shared" si="35"/>
        <v>0</v>
      </c>
      <c r="AD88" s="35">
        <f t="shared" si="35"/>
        <v>0</v>
      </c>
      <c r="AE88" s="35">
        <f t="shared" si="34"/>
        <v>0</v>
      </c>
      <c r="AF88" s="35">
        <f t="shared" si="34"/>
        <v>0</v>
      </c>
      <c r="AG88" s="35">
        <f t="shared" si="34"/>
        <v>0</v>
      </c>
      <c r="AH88" s="35">
        <f t="shared" si="34"/>
        <v>0</v>
      </c>
      <c r="AI88" s="35">
        <f t="shared" si="34"/>
        <v>0</v>
      </c>
      <c r="AJ88" s="35">
        <f t="shared" si="34"/>
        <v>0</v>
      </c>
      <c r="AK88" s="35">
        <f t="shared" si="34"/>
        <v>0</v>
      </c>
      <c r="AL88" s="35">
        <f t="shared" si="34"/>
        <v>0</v>
      </c>
      <c r="AM88" s="36">
        <f t="shared" si="34"/>
        <v>0</v>
      </c>
      <c r="AN88" s="33" t="str">
        <f t="shared" si="31"/>
        <v xml:space="preserve">  -  Hostess III</v>
      </c>
      <c r="AO88" s="37">
        <f t="shared" si="37"/>
        <v>0</v>
      </c>
      <c r="AP88" s="35">
        <f t="shared" si="37"/>
        <v>0</v>
      </c>
      <c r="AQ88" s="35">
        <f t="shared" si="37"/>
        <v>0</v>
      </c>
      <c r="AR88" s="35">
        <f t="shared" si="37"/>
        <v>0</v>
      </c>
      <c r="AS88" s="35">
        <f t="shared" si="37"/>
        <v>0</v>
      </c>
      <c r="AT88" s="35">
        <f t="shared" si="37"/>
        <v>0</v>
      </c>
      <c r="AU88" s="35">
        <f t="shared" si="37"/>
        <v>0</v>
      </c>
      <c r="AV88" s="35">
        <f t="shared" si="37"/>
        <v>0</v>
      </c>
      <c r="AW88" s="35">
        <f t="shared" si="37"/>
        <v>0</v>
      </c>
      <c r="AX88" s="35">
        <f t="shared" si="37"/>
        <v>0</v>
      </c>
      <c r="AY88" s="35">
        <f t="shared" si="37"/>
        <v>0</v>
      </c>
      <c r="AZ88" s="36">
        <f t="shared" si="37"/>
        <v>0</v>
      </c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</row>
    <row r="89" spans="1:69" x14ac:dyDescent="0.3">
      <c r="A89" s="33" t="s">
        <v>114</v>
      </c>
      <c r="B89" s="34">
        <v>5</v>
      </c>
      <c r="C89" s="34">
        <v>4</v>
      </c>
      <c r="D89" s="34">
        <v>4</v>
      </c>
      <c r="E89" s="34">
        <v>4</v>
      </c>
      <c r="F89" s="34">
        <v>4</v>
      </c>
      <c r="G89" s="34">
        <v>4</v>
      </c>
      <c r="H89" s="34">
        <v>4</v>
      </c>
      <c r="I89" s="34">
        <v>4</v>
      </c>
      <c r="J89" s="34">
        <v>4</v>
      </c>
      <c r="K89" s="34">
        <v>4</v>
      </c>
      <c r="L89" s="34">
        <v>4</v>
      </c>
      <c r="M89" s="34">
        <v>4</v>
      </c>
      <c r="N89" s="52" t="str">
        <f t="shared" si="28"/>
        <v xml:space="preserve">  -  Hostess II</v>
      </c>
      <c r="O89" s="37">
        <v>2000</v>
      </c>
      <c r="P89" s="35">
        <v>2149.8000000000002</v>
      </c>
      <c r="Q89" s="35">
        <v>2149.8000000000002</v>
      </c>
      <c r="R89" s="35">
        <v>2149.8000000000002</v>
      </c>
      <c r="S89" s="55">
        <f t="shared" ref="S89:Z96" si="38">$R89+($R89*$S$39)</f>
        <v>2240.0916000000002</v>
      </c>
      <c r="T89" s="55">
        <f t="shared" si="38"/>
        <v>2240.0916000000002</v>
      </c>
      <c r="U89" s="55">
        <f t="shared" si="38"/>
        <v>2240.0916000000002</v>
      </c>
      <c r="V89" s="55">
        <f t="shared" si="38"/>
        <v>2240.0916000000002</v>
      </c>
      <c r="W89" s="55">
        <f t="shared" si="38"/>
        <v>2240.0916000000002</v>
      </c>
      <c r="X89" s="55">
        <f t="shared" si="38"/>
        <v>2240.0916000000002</v>
      </c>
      <c r="Y89" s="55">
        <f t="shared" si="38"/>
        <v>2240.0916000000002</v>
      </c>
      <c r="Z89" s="55">
        <f t="shared" si="38"/>
        <v>2240.0916000000002</v>
      </c>
      <c r="AA89" s="52" t="str">
        <f t="shared" si="30"/>
        <v xml:space="preserve">  -  Hostess II</v>
      </c>
      <c r="AB89" s="35">
        <f t="shared" si="35"/>
        <v>10000</v>
      </c>
      <c r="AC89" s="35">
        <f t="shared" si="35"/>
        <v>8599.2000000000007</v>
      </c>
      <c r="AD89" s="35">
        <f t="shared" si="35"/>
        <v>8599.2000000000007</v>
      </c>
      <c r="AE89" s="35">
        <f t="shared" si="34"/>
        <v>8599.2000000000007</v>
      </c>
      <c r="AF89" s="35">
        <f t="shared" si="34"/>
        <v>8960.3664000000008</v>
      </c>
      <c r="AG89" s="35">
        <f t="shared" si="34"/>
        <v>8960.3664000000008</v>
      </c>
      <c r="AH89" s="35">
        <f t="shared" si="34"/>
        <v>8960.3664000000008</v>
      </c>
      <c r="AI89" s="35">
        <f t="shared" si="34"/>
        <v>8960.3664000000008</v>
      </c>
      <c r="AJ89" s="35">
        <f t="shared" si="34"/>
        <v>8960.3664000000008</v>
      </c>
      <c r="AK89" s="35">
        <f t="shared" si="34"/>
        <v>8960.3664000000008</v>
      </c>
      <c r="AL89" s="35">
        <f t="shared" si="34"/>
        <v>8960.3664000000008</v>
      </c>
      <c r="AM89" s="36">
        <f t="shared" si="34"/>
        <v>8960.3664000000008</v>
      </c>
      <c r="AN89" s="33" t="str">
        <f t="shared" si="31"/>
        <v xml:space="preserve">  -  Hostess II</v>
      </c>
      <c r="AO89" s="37">
        <f t="shared" si="37"/>
        <v>-2860</v>
      </c>
      <c r="AP89" s="35">
        <f t="shared" si="37"/>
        <v>-2288</v>
      </c>
      <c r="AQ89" s="35">
        <f t="shared" si="37"/>
        <v>-2288</v>
      </c>
      <c r="AR89" s="35">
        <f t="shared" si="37"/>
        <v>-2288</v>
      </c>
      <c r="AS89" s="35">
        <f t="shared" si="37"/>
        <v>-2288</v>
      </c>
      <c r="AT89" s="35">
        <f t="shared" si="37"/>
        <v>-2288</v>
      </c>
      <c r="AU89" s="35">
        <f t="shared" si="37"/>
        <v>-2288</v>
      </c>
      <c r="AV89" s="35">
        <f t="shared" si="37"/>
        <v>-2288</v>
      </c>
      <c r="AW89" s="35">
        <f t="shared" si="37"/>
        <v>-2288</v>
      </c>
      <c r="AX89" s="35">
        <f t="shared" si="37"/>
        <v>-2288</v>
      </c>
      <c r="AY89" s="35">
        <f t="shared" si="37"/>
        <v>-2288</v>
      </c>
      <c r="AZ89" s="36">
        <f t="shared" si="37"/>
        <v>-2288</v>
      </c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</row>
    <row r="90" spans="1:69" x14ac:dyDescent="0.3">
      <c r="A90" s="33" t="s">
        <v>115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52" t="str">
        <f t="shared" si="28"/>
        <v xml:space="preserve">  -  Hostess I</v>
      </c>
      <c r="O90" s="37"/>
      <c r="P90" s="35">
        <v>1949.92</v>
      </c>
      <c r="Q90" s="35">
        <v>1949.92</v>
      </c>
      <c r="R90" s="35">
        <v>1949.92</v>
      </c>
      <c r="S90" s="55">
        <f t="shared" si="38"/>
        <v>2031.81664</v>
      </c>
      <c r="T90" s="55">
        <f t="shared" si="38"/>
        <v>2031.81664</v>
      </c>
      <c r="U90" s="55">
        <f t="shared" si="38"/>
        <v>2031.81664</v>
      </c>
      <c r="V90" s="55">
        <f t="shared" si="38"/>
        <v>2031.81664</v>
      </c>
      <c r="W90" s="55">
        <f t="shared" si="38"/>
        <v>2031.81664</v>
      </c>
      <c r="X90" s="55">
        <f t="shared" si="38"/>
        <v>2031.81664</v>
      </c>
      <c r="Y90" s="55">
        <f t="shared" si="38"/>
        <v>2031.81664</v>
      </c>
      <c r="Z90" s="55">
        <f t="shared" si="38"/>
        <v>2031.81664</v>
      </c>
      <c r="AA90" s="52" t="str">
        <f t="shared" si="30"/>
        <v xml:space="preserve">  -  Hostess I</v>
      </c>
      <c r="AB90" s="35">
        <f t="shared" si="35"/>
        <v>0</v>
      </c>
      <c r="AC90" s="35">
        <f t="shared" si="35"/>
        <v>0</v>
      </c>
      <c r="AD90" s="35">
        <f t="shared" si="35"/>
        <v>0</v>
      </c>
      <c r="AE90" s="35">
        <f t="shared" si="34"/>
        <v>0</v>
      </c>
      <c r="AF90" s="35">
        <f t="shared" si="34"/>
        <v>0</v>
      </c>
      <c r="AG90" s="35">
        <f t="shared" si="34"/>
        <v>0</v>
      </c>
      <c r="AH90" s="35">
        <f t="shared" si="34"/>
        <v>0</v>
      </c>
      <c r="AI90" s="35">
        <f t="shared" si="34"/>
        <v>0</v>
      </c>
      <c r="AJ90" s="35">
        <f t="shared" si="34"/>
        <v>0</v>
      </c>
      <c r="AK90" s="35">
        <f t="shared" si="34"/>
        <v>0</v>
      </c>
      <c r="AL90" s="35">
        <f t="shared" si="34"/>
        <v>0</v>
      </c>
      <c r="AM90" s="36">
        <f t="shared" si="34"/>
        <v>0</v>
      </c>
      <c r="AN90" s="33" t="str">
        <f t="shared" si="31"/>
        <v xml:space="preserve">  -  Hostess I</v>
      </c>
      <c r="AO90" s="37">
        <f t="shared" si="37"/>
        <v>0</v>
      </c>
      <c r="AP90" s="35">
        <f t="shared" si="37"/>
        <v>0</v>
      </c>
      <c r="AQ90" s="35">
        <f t="shared" si="37"/>
        <v>0</v>
      </c>
      <c r="AR90" s="35">
        <f t="shared" si="37"/>
        <v>0</v>
      </c>
      <c r="AS90" s="35">
        <f t="shared" si="37"/>
        <v>0</v>
      </c>
      <c r="AT90" s="35">
        <f t="shared" si="37"/>
        <v>0</v>
      </c>
      <c r="AU90" s="35">
        <f t="shared" si="37"/>
        <v>0</v>
      </c>
      <c r="AV90" s="35">
        <f t="shared" si="37"/>
        <v>0</v>
      </c>
      <c r="AW90" s="35">
        <f t="shared" si="37"/>
        <v>0</v>
      </c>
      <c r="AX90" s="35">
        <f t="shared" si="37"/>
        <v>0</v>
      </c>
      <c r="AY90" s="35">
        <f t="shared" si="37"/>
        <v>0</v>
      </c>
      <c r="AZ90" s="36">
        <f t="shared" si="37"/>
        <v>0</v>
      </c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</row>
    <row r="91" spans="1:69" x14ac:dyDescent="0.3">
      <c r="A91" s="33" t="s">
        <v>116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52" t="str">
        <f t="shared" si="28"/>
        <v xml:space="preserve">  -  Chefe de Bilheteria</v>
      </c>
      <c r="O91" s="37"/>
      <c r="P91" s="35">
        <v>3440.07</v>
      </c>
      <c r="Q91" s="35">
        <v>3440.07</v>
      </c>
      <c r="R91" s="35">
        <v>3440.07</v>
      </c>
      <c r="S91" s="55">
        <f t="shared" si="38"/>
        <v>3584.55294</v>
      </c>
      <c r="T91" s="55">
        <f t="shared" si="38"/>
        <v>3584.55294</v>
      </c>
      <c r="U91" s="55">
        <f t="shared" si="38"/>
        <v>3584.55294</v>
      </c>
      <c r="V91" s="55">
        <f t="shared" si="38"/>
        <v>3584.55294</v>
      </c>
      <c r="W91" s="55">
        <f t="shared" si="38"/>
        <v>3584.55294</v>
      </c>
      <c r="X91" s="55">
        <f t="shared" si="38"/>
        <v>3584.55294</v>
      </c>
      <c r="Y91" s="55">
        <f t="shared" si="38"/>
        <v>3584.55294</v>
      </c>
      <c r="Z91" s="55">
        <f t="shared" si="38"/>
        <v>3584.55294</v>
      </c>
      <c r="AA91" s="52" t="str">
        <f t="shared" si="30"/>
        <v xml:space="preserve">  -  Chefe de Bilheteria</v>
      </c>
      <c r="AB91" s="35">
        <f t="shared" si="35"/>
        <v>0</v>
      </c>
      <c r="AC91" s="35">
        <f t="shared" si="35"/>
        <v>0</v>
      </c>
      <c r="AD91" s="35">
        <f t="shared" si="35"/>
        <v>0</v>
      </c>
      <c r="AE91" s="35">
        <f t="shared" si="34"/>
        <v>0</v>
      </c>
      <c r="AF91" s="35">
        <f t="shared" si="34"/>
        <v>0</v>
      </c>
      <c r="AG91" s="35">
        <f t="shared" si="34"/>
        <v>0</v>
      </c>
      <c r="AH91" s="35">
        <f t="shared" ref="AH91:AM96" si="39">U91*H91</f>
        <v>0</v>
      </c>
      <c r="AI91" s="35">
        <f t="shared" si="39"/>
        <v>0</v>
      </c>
      <c r="AJ91" s="35">
        <f t="shared" si="39"/>
        <v>0</v>
      </c>
      <c r="AK91" s="35">
        <f t="shared" si="39"/>
        <v>0</v>
      </c>
      <c r="AL91" s="35">
        <f t="shared" si="39"/>
        <v>0</v>
      </c>
      <c r="AM91" s="36">
        <f t="shared" si="39"/>
        <v>0</v>
      </c>
      <c r="AN91" s="33" t="str">
        <f t="shared" si="31"/>
        <v xml:space="preserve">  -  Chefe de Bilheteria</v>
      </c>
      <c r="AO91" s="37">
        <f t="shared" si="37"/>
        <v>0</v>
      </c>
      <c r="AP91" s="35">
        <f t="shared" si="37"/>
        <v>0</v>
      </c>
      <c r="AQ91" s="35">
        <f t="shared" si="37"/>
        <v>0</v>
      </c>
      <c r="AR91" s="35">
        <f t="shared" si="37"/>
        <v>0</v>
      </c>
      <c r="AS91" s="35">
        <f t="shared" si="37"/>
        <v>0</v>
      </c>
      <c r="AT91" s="35">
        <f t="shared" si="37"/>
        <v>0</v>
      </c>
      <c r="AU91" s="35">
        <f t="shared" si="37"/>
        <v>0</v>
      </c>
      <c r="AV91" s="35">
        <f t="shared" si="37"/>
        <v>0</v>
      </c>
      <c r="AW91" s="35">
        <f t="shared" si="37"/>
        <v>0</v>
      </c>
      <c r="AX91" s="35">
        <f t="shared" si="37"/>
        <v>0</v>
      </c>
      <c r="AY91" s="35">
        <f t="shared" si="37"/>
        <v>0</v>
      </c>
      <c r="AZ91" s="36">
        <f t="shared" si="37"/>
        <v>0</v>
      </c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</row>
    <row r="92" spans="1:69" x14ac:dyDescent="0.3">
      <c r="A92" s="33" t="s">
        <v>117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52" t="str">
        <f t="shared" si="28"/>
        <v xml:space="preserve">  -  Bilheteiro III</v>
      </c>
      <c r="O92" s="37"/>
      <c r="P92" s="35">
        <v>2658.22</v>
      </c>
      <c r="Q92" s="35">
        <v>2658.22</v>
      </c>
      <c r="R92" s="35">
        <v>2658.22</v>
      </c>
      <c r="S92" s="55">
        <f t="shared" si="38"/>
        <v>2769.8652399999996</v>
      </c>
      <c r="T92" s="55">
        <f t="shared" si="38"/>
        <v>2769.8652399999996</v>
      </c>
      <c r="U92" s="55">
        <f t="shared" si="38"/>
        <v>2769.8652399999996</v>
      </c>
      <c r="V92" s="55">
        <f t="shared" si="38"/>
        <v>2769.8652399999996</v>
      </c>
      <c r="W92" s="55">
        <f t="shared" si="38"/>
        <v>2769.8652399999996</v>
      </c>
      <c r="X92" s="55">
        <f t="shared" si="38"/>
        <v>2769.8652399999996</v>
      </c>
      <c r="Y92" s="55">
        <f t="shared" si="38"/>
        <v>2769.8652399999996</v>
      </c>
      <c r="Z92" s="55">
        <f t="shared" si="38"/>
        <v>2769.8652399999996</v>
      </c>
      <c r="AA92" s="52" t="str">
        <f t="shared" si="30"/>
        <v xml:space="preserve">  -  Bilheteiro III</v>
      </c>
      <c r="AB92" s="35">
        <f t="shared" si="35"/>
        <v>0</v>
      </c>
      <c r="AC92" s="35">
        <f t="shared" si="35"/>
        <v>0</v>
      </c>
      <c r="AD92" s="35">
        <f t="shared" si="35"/>
        <v>0</v>
      </c>
      <c r="AE92" s="35">
        <f t="shared" si="35"/>
        <v>0</v>
      </c>
      <c r="AF92" s="35">
        <f t="shared" si="35"/>
        <v>0</v>
      </c>
      <c r="AG92" s="35">
        <f t="shared" si="35"/>
        <v>0</v>
      </c>
      <c r="AH92" s="35">
        <f t="shared" si="39"/>
        <v>0</v>
      </c>
      <c r="AI92" s="35">
        <f t="shared" si="39"/>
        <v>0</v>
      </c>
      <c r="AJ92" s="35">
        <f t="shared" si="39"/>
        <v>0</v>
      </c>
      <c r="AK92" s="35">
        <f t="shared" si="39"/>
        <v>0</v>
      </c>
      <c r="AL92" s="35">
        <f t="shared" si="39"/>
        <v>0</v>
      </c>
      <c r="AM92" s="36">
        <f t="shared" si="39"/>
        <v>0</v>
      </c>
      <c r="AN92" s="33" t="str">
        <f t="shared" si="31"/>
        <v xml:space="preserve">  -  Bilheteiro III</v>
      </c>
      <c r="AO92" s="37">
        <f t="shared" si="37"/>
        <v>0</v>
      </c>
      <c r="AP92" s="35">
        <f t="shared" si="37"/>
        <v>0</v>
      </c>
      <c r="AQ92" s="35">
        <f t="shared" si="37"/>
        <v>0</v>
      </c>
      <c r="AR92" s="35">
        <f t="shared" si="37"/>
        <v>0</v>
      </c>
      <c r="AS92" s="35">
        <f t="shared" si="37"/>
        <v>0</v>
      </c>
      <c r="AT92" s="35">
        <f t="shared" si="37"/>
        <v>0</v>
      </c>
      <c r="AU92" s="35">
        <f t="shared" si="37"/>
        <v>0</v>
      </c>
      <c r="AV92" s="35">
        <f t="shared" si="37"/>
        <v>0</v>
      </c>
      <c r="AW92" s="35">
        <f t="shared" si="37"/>
        <v>0</v>
      </c>
      <c r="AX92" s="35">
        <f t="shared" si="37"/>
        <v>0</v>
      </c>
      <c r="AY92" s="35">
        <f t="shared" si="37"/>
        <v>0</v>
      </c>
      <c r="AZ92" s="36">
        <f t="shared" si="37"/>
        <v>0</v>
      </c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</row>
    <row r="93" spans="1:69" x14ac:dyDescent="0.3">
      <c r="A93" s="33" t="s">
        <v>118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52" t="str">
        <f t="shared" si="28"/>
        <v xml:space="preserve">  -  Bilheteiro II</v>
      </c>
      <c r="O93" s="37"/>
      <c r="P93" s="35">
        <v>1938.56</v>
      </c>
      <c r="Q93" s="35">
        <v>1938.56</v>
      </c>
      <c r="R93" s="35">
        <v>1938.56</v>
      </c>
      <c r="S93" s="55">
        <f t="shared" si="38"/>
        <v>2019.9795199999999</v>
      </c>
      <c r="T93" s="55">
        <f t="shared" si="38"/>
        <v>2019.9795199999999</v>
      </c>
      <c r="U93" s="55">
        <f t="shared" si="38"/>
        <v>2019.9795199999999</v>
      </c>
      <c r="V93" s="55">
        <f t="shared" si="38"/>
        <v>2019.9795199999999</v>
      </c>
      <c r="W93" s="55">
        <f t="shared" si="38"/>
        <v>2019.9795199999999</v>
      </c>
      <c r="X93" s="55">
        <f t="shared" si="38"/>
        <v>2019.9795199999999</v>
      </c>
      <c r="Y93" s="55">
        <f t="shared" si="38"/>
        <v>2019.9795199999999</v>
      </c>
      <c r="Z93" s="55">
        <f t="shared" si="38"/>
        <v>2019.9795199999999</v>
      </c>
      <c r="AA93" s="52" t="str">
        <f t="shared" si="30"/>
        <v xml:space="preserve">  -  Bilheteiro II</v>
      </c>
      <c r="AB93" s="35">
        <f t="shared" si="35"/>
        <v>0</v>
      </c>
      <c r="AC93" s="35">
        <f t="shared" si="35"/>
        <v>0</v>
      </c>
      <c r="AD93" s="35">
        <f t="shared" si="35"/>
        <v>0</v>
      </c>
      <c r="AE93" s="35">
        <f t="shared" si="35"/>
        <v>0</v>
      </c>
      <c r="AF93" s="35">
        <f t="shared" si="35"/>
        <v>0</v>
      </c>
      <c r="AG93" s="35">
        <f t="shared" si="35"/>
        <v>0</v>
      </c>
      <c r="AH93" s="35">
        <f t="shared" si="39"/>
        <v>0</v>
      </c>
      <c r="AI93" s="35">
        <f t="shared" si="39"/>
        <v>0</v>
      </c>
      <c r="AJ93" s="35">
        <f t="shared" si="39"/>
        <v>0</v>
      </c>
      <c r="AK93" s="35">
        <f t="shared" si="39"/>
        <v>0</v>
      </c>
      <c r="AL93" s="35">
        <f t="shared" si="39"/>
        <v>0</v>
      </c>
      <c r="AM93" s="36">
        <f t="shared" si="39"/>
        <v>0</v>
      </c>
      <c r="AN93" s="33" t="str">
        <f t="shared" si="31"/>
        <v xml:space="preserve">  -  Bilheteiro II</v>
      </c>
      <c r="AO93" s="37">
        <f t="shared" si="37"/>
        <v>0</v>
      </c>
      <c r="AP93" s="35">
        <f t="shared" si="37"/>
        <v>0</v>
      </c>
      <c r="AQ93" s="35">
        <f t="shared" si="37"/>
        <v>0</v>
      </c>
      <c r="AR93" s="35">
        <f t="shared" si="37"/>
        <v>0</v>
      </c>
      <c r="AS93" s="35">
        <f t="shared" si="37"/>
        <v>0</v>
      </c>
      <c r="AT93" s="35">
        <f t="shared" si="37"/>
        <v>0</v>
      </c>
      <c r="AU93" s="35">
        <f t="shared" si="37"/>
        <v>0</v>
      </c>
      <c r="AV93" s="35">
        <f t="shared" si="37"/>
        <v>0</v>
      </c>
      <c r="AW93" s="35">
        <f t="shared" si="37"/>
        <v>0</v>
      </c>
      <c r="AX93" s="35">
        <f t="shared" si="37"/>
        <v>0</v>
      </c>
      <c r="AY93" s="35">
        <f t="shared" si="37"/>
        <v>0</v>
      </c>
      <c r="AZ93" s="36">
        <f t="shared" si="37"/>
        <v>0</v>
      </c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</row>
    <row r="94" spans="1:69" x14ac:dyDescent="0.3">
      <c r="A94" s="33" t="s">
        <v>119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52" t="str">
        <f t="shared" si="28"/>
        <v xml:space="preserve">  -  Bilheteiro I</v>
      </c>
      <c r="O94" s="37"/>
      <c r="P94" s="35">
        <v>1804</v>
      </c>
      <c r="Q94" s="35">
        <v>1804</v>
      </c>
      <c r="R94" s="35">
        <v>1804</v>
      </c>
      <c r="S94" s="55">
        <f t="shared" si="38"/>
        <v>1879.768</v>
      </c>
      <c r="T94" s="55">
        <f t="shared" si="38"/>
        <v>1879.768</v>
      </c>
      <c r="U94" s="55">
        <f t="shared" si="38"/>
        <v>1879.768</v>
      </c>
      <c r="V94" s="55">
        <f t="shared" si="38"/>
        <v>1879.768</v>
      </c>
      <c r="W94" s="55">
        <f t="shared" si="38"/>
        <v>1879.768</v>
      </c>
      <c r="X94" s="55">
        <f t="shared" si="38"/>
        <v>1879.768</v>
      </c>
      <c r="Y94" s="55">
        <f t="shared" si="38"/>
        <v>1879.768</v>
      </c>
      <c r="Z94" s="55">
        <f t="shared" si="38"/>
        <v>1879.768</v>
      </c>
      <c r="AA94" s="52" t="str">
        <f t="shared" si="30"/>
        <v xml:space="preserve">  -  Bilheteiro I</v>
      </c>
      <c r="AB94" s="35">
        <f t="shared" si="35"/>
        <v>0</v>
      </c>
      <c r="AC94" s="35">
        <f t="shared" si="35"/>
        <v>0</v>
      </c>
      <c r="AD94" s="35">
        <f t="shared" si="35"/>
        <v>0</v>
      </c>
      <c r="AE94" s="35">
        <f t="shared" si="35"/>
        <v>0</v>
      </c>
      <c r="AF94" s="35">
        <f t="shared" si="35"/>
        <v>0</v>
      </c>
      <c r="AG94" s="35">
        <f t="shared" si="35"/>
        <v>0</v>
      </c>
      <c r="AH94" s="35">
        <f t="shared" si="39"/>
        <v>0</v>
      </c>
      <c r="AI94" s="35">
        <f t="shared" si="39"/>
        <v>0</v>
      </c>
      <c r="AJ94" s="35">
        <f t="shared" si="39"/>
        <v>0</v>
      </c>
      <c r="AK94" s="35">
        <f t="shared" si="39"/>
        <v>0</v>
      </c>
      <c r="AL94" s="35">
        <f t="shared" si="39"/>
        <v>0</v>
      </c>
      <c r="AM94" s="36">
        <f t="shared" si="39"/>
        <v>0</v>
      </c>
      <c r="AN94" s="33" t="str">
        <f t="shared" si="31"/>
        <v xml:space="preserve">  -  Bilheteiro I</v>
      </c>
      <c r="AO94" s="37">
        <f t="shared" si="37"/>
        <v>0</v>
      </c>
      <c r="AP94" s="35">
        <f t="shared" si="37"/>
        <v>0</v>
      </c>
      <c r="AQ94" s="35">
        <f t="shared" si="37"/>
        <v>0</v>
      </c>
      <c r="AR94" s="35">
        <f t="shared" si="37"/>
        <v>0</v>
      </c>
      <c r="AS94" s="35">
        <f t="shared" si="37"/>
        <v>0</v>
      </c>
      <c r="AT94" s="35">
        <f t="shared" si="37"/>
        <v>0</v>
      </c>
      <c r="AU94" s="35">
        <f t="shared" si="37"/>
        <v>0</v>
      </c>
      <c r="AV94" s="35">
        <f t="shared" si="37"/>
        <v>0</v>
      </c>
      <c r="AW94" s="35">
        <f t="shared" si="37"/>
        <v>0</v>
      </c>
      <c r="AX94" s="35">
        <f t="shared" si="37"/>
        <v>0</v>
      </c>
      <c r="AY94" s="35">
        <f t="shared" si="37"/>
        <v>0</v>
      </c>
      <c r="AZ94" s="36">
        <f t="shared" si="37"/>
        <v>0</v>
      </c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</row>
    <row r="95" spans="1:69" x14ac:dyDescent="0.3">
      <c r="A95" s="33" t="s">
        <v>120</v>
      </c>
      <c r="B95" s="34">
        <v>1</v>
      </c>
      <c r="C95" s="34">
        <v>1</v>
      </c>
      <c r="D95" s="34">
        <v>1</v>
      </c>
      <c r="E95" s="34">
        <v>1</v>
      </c>
      <c r="F95" s="34">
        <v>1</v>
      </c>
      <c r="G95" s="34">
        <v>1</v>
      </c>
      <c r="H95" s="34">
        <v>1</v>
      </c>
      <c r="I95" s="34">
        <v>1</v>
      </c>
      <c r="J95" s="34">
        <v>1</v>
      </c>
      <c r="K95" s="34">
        <v>1</v>
      </c>
      <c r="L95" s="34">
        <v>1</v>
      </c>
      <c r="M95" s="34">
        <v>1</v>
      </c>
      <c r="N95" s="52" t="str">
        <f t="shared" si="28"/>
        <v xml:space="preserve">  -  Caixa</v>
      </c>
      <c r="O95" s="37">
        <v>1900</v>
      </c>
      <c r="P95" s="35">
        <v>1869.4</v>
      </c>
      <c r="Q95" s="35">
        <v>1869.4</v>
      </c>
      <c r="R95" s="35">
        <v>1869.4</v>
      </c>
      <c r="S95" s="55">
        <f t="shared" si="38"/>
        <v>1947.9148</v>
      </c>
      <c r="T95" s="55">
        <f t="shared" si="38"/>
        <v>1947.9148</v>
      </c>
      <c r="U95" s="55">
        <f t="shared" si="38"/>
        <v>1947.9148</v>
      </c>
      <c r="V95" s="55">
        <f t="shared" si="38"/>
        <v>1947.9148</v>
      </c>
      <c r="W95" s="55">
        <f t="shared" si="38"/>
        <v>1947.9148</v>
      </c>
      <c r="X95" s="55">
        <f t="shared" si="38"/>
        <v>1947.9148</v>
      </c>
      <c r="Y95" s="55">
        <f t="shared" si="38"/>
        <v>1947.9148</v>
      </c>
      <c r="Z95" s="55">
        <f t="shared" si="38"/>
        <v>1947.9148</v>
      </c>
      <c r="AA95" s="52" t="str">
        <f t="shared" si="30"/>
        <v xml:space="preserve">  -  Caixa</v>
      </c>
      <c r="AB95" s="35">
        <f t="shared" si="35"/>
        <v>1900</v>
      </c>
      <c r="AC95" s="35">
        <f t="shared" si="35"/>
        <v>1869.4</v>
      </c>
      <c r="AD95" s="35">
        <f t="shared" si="35"/>
        <v>1869.4</v>
      </c>
      <c r="AE95" s="35">
        <f t="shared" si="35"/>
        <v>1869.4</v>
      </c>
      <c r="AF95" s="35">
        <f t="shared" si="35"/>
        <v>1947.9148</v>
      </c>
      <c r="AG95" s="35">
        <f t="shared" si="35"/>
        <v>1947.9148</v>
      </c>
      <c r="AH95" s="35">
        <f t="shared" si="39"/>
        <v>1947.9148</v>
      </c>
      <c r="AI95" s="35">
        <f t="shared" si="39"/>
        <v>1947.9148</v>
      </c>
      <c r="AJ95" s="35">
        <f t="shared" si="39"/>
        <v>1947.9148</v>
      </c>
      <c r="AK95" s="35">
        <f t="shared" si="39"/>
        <v>1947.9148</v>
      </c>
      <c r="AL95" s="35">
        <f t="shared" si="39"/>
        <v>1947.9148</v>
      </c>
      <c r="AM95" s="36">
        <f t="shared" si="39"/>
        <v>1947.9148</v>
      </c>
      <c r="AN95" s="33" t="str">
        <f t="shared" si="31"/>
        <v xml:space="preserve">  -  Caixa</v>
      </c>
      <c r="AO95" s="37">
        <f t="shared" si="37"/>
        <v>-572</v>
      </c>
      <c r="AP95" s="35">
        <f t="shared" si="37"/>
        <v>-572</v>
      </c>
      <c r="AQ95" s="35">
        <f t="shared" si="37"/>
        <v>-572</v>
      </c>
      <c r="AR95" s="35">
        <f t="shared" si="37"/>
        <v>-572</v>
      </c>
      <c r="AS95" s="35">
        <f t="shared" si="37"/>
        <v>-572</v>
      </c>
      <c r="AT95" s="35">
        <f t="shared" si="37"/>
        <v>-572</v>
      </c>
      <c r="AU95" s="35">
        <f t="shared" si="37"/>
        <v>-572</v>
      </c>
      <c r="AV95" s="35">
        <f t="shared" si="37"/>
        <v>-572</v>
      </c>
      <c r="AW95" s="35">
        <f t="shared" si="37"/>
        <v>-572</v>
      </c>
      <c r="AX95" s="35">
        <f t="shared" si="37"/>
        <v>-572</v>
      </c>
      <c r="AY95" s="35">
        <f t="shared" si="37"/>
        <v>-572</v>
      </c>
      <c r="AZ95" s="36">
        <f t="shared" si="37"/>
        <v>-572</v>
      </c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</row>
    <row r="96" spans="1:69" ht="16.8" customHeight="1" thickBot="1" x14ac:dyDescent="0.35">
      <c r="A96" s="57" t="s">
        <v>121</v>
      </c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9" t="str">
        <f t="shared" si="28"/>
        <v xml:space="preserve">  -  Operador de Delivery</v>
      </c>
      <c r="O96" s="60"/>
      <c r="P96" s="61">
        <v>1869.4</v>
      </c>
      <c r="Q96" s="61">
        <v>1869.4</v>
      </c>
      <c r="R96" s="61">
        <v>1869.4</v>
      </c>
      <c r="S96" s="55">
        <f t="shared" si="38"/>
        <v>1947.9148</v>
      </c>
      <c r="T96" s="55">
        <f t="shared" si="38"/>
        <v>1947.9148</v>
      </c>
      <c r="U96" s="55">
        <f t="shared" si="38"/>
        <v>1947.9148</v>
      </c>
      <c r="V96" s="55">
        <f t="shared" si="38"/>
        <v>1947.9148</v>
      </c>
      <c r="W96" s="55">
        <f t="shared" si="38"/>
        <v>1947.9148</v>
      </c>
      <c r="X96" s="55">
        <f t="shared" si="38"/>
        <v>1947.9148</v>
      </c>
      <c r="Y96" s="55">
        <f t="shared" si="38"/>
        <v>1947.9148</v>
      </c>
      <c r="Z96" s="55">
        <f t="shared" si="38"/>
        <v>1947.9148</v>
      </c>
      <c r="AA96" s="59" t="str">
        <f t="shared" si="30"/>
        <v xml:space="preserve">  -  Operador de Delivery</v>
      </c>
      <c r="AB96" s="61">
        <f t="shared" si="35"/>
        <v>0</v>
      </c>
      <c r="AC96" s="61">
        <f t="shared" si="35"/>
        <v>0</v>
      </c>
      <c r="AD96" s="61">
        <f t="shared" si="35"/>
        <v>0</v>
      </c>
      <c r="AE96" s="61">
        <f t="shared" si="35"/>
        <v>0</v>
      </c>
      <c r="AF96" s="61">
        <f t="shared" si="35"/>
        <v>0</v>
      </c>
      <c r="AG96" s="61">
        <f t="shared" si="35"/>
        <v>0</v>
      </c>
      <c r="AH96" s="61">
        <f t="shared" si="39"/>
        <v>0</v>
      </c>
      <c r="AI96" s="61">
        <f t="shared" si="39"/>
        <v>0</v>
      </c>
      <c r="AJ96" s="61">
        <f t="shared" si="39"/>
        <v>0</v>
      </c>
      <c r="AK96" s="61">
        <f t="shared" si="39"/>
        <v>0</v>
      </c>
      <c r="AL96" s="61">
        <f t="shared" si="39"/>
        <v>0</v>
      </c>
      <c r="AM96" s="62">
        <f t="shared" si="39"/>
        <v>0</v>
      </c>
      <c r="AN96" s="57" t="str">
        <f t="shared" si="31"/>
        <v xml:space="preserve">  -  Operador de Delivery</v>
      </c>
      <c r="AO96" s="60">
        <f t="shared" si="37"/>
        <v>0</v>
      </c>
      <c r="AP96" s="61">
        <f t="shared" si="37"/>
        <v>0</v>
      </c>
      <c r="AQ96" s="61">
        <f t="shared" si="37"/>
        <v>0</v>
      </c>
      <c r="AR96" s="61">
        <f t="shared" si="37"/>
        <v>0</v>
      </c>
      <c r="AS96" s="61">
        <f t="shared" si="37"/>
        <v>0</v>
      </c>
      <c r="AT96" s="61">
        <f t="shared" si="37"/>
        <v>0</v>
      </c>
      <c r="AU96" s="61">
        <f t="shared" si="37"/>
        <v>0</v>
      </c>
      <c r="AV96" s="61">
        <f t="shared" si="37"/>
        <v>0</v>
      </c>
      <c r="AW96" s="61">
        <f t="shared" si="37"/>
        <v>0</v>
      </c>
      <c r="AX96" s="61">
        <f t="shared" si="37"/>
        <v>0</v>
      </c>
      <c r="AY96" s="61">
        <f t="shared" si="37"/>
        <v>0</v>
      </c>
      <c r="AZ96" s="62">
        <f t="shared" si="37"/>
        <v>0</v>
      </c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</row>
    <row r="97" spans="1:69" x14ac:dyDescent="0.3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4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</row>
    <row r="98" spans="1:69" x14ac:dyDescent="0.3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4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</row>
    <row r="99" spans="1:69" x14ac:dyDescent="0.3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4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</row>
    <row r="100" spans="1:69" ht="18" thickBot="1" x14ac:dyDescent="0.35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4" t="s">
        <v>122</v>
      </c>
      <c r="AO100" s="37">
        <f>'[1]Orçamento  Operacional'!H178</f>
        <v>-53387.141119814383</v>
      </c>
      <c r="AP100" s="35">
        <f>'[1]Orçamento  Operacional'!I178</f>
        <v>-46677.121125623577</v>
      </c>
      <c r="AQ100" s="35">
        <f>'[1]Orçamento  Operacional'!J178</f>
        <v>-55703.337822951216</v>
      </c>
      <c r="AR100" s="35">
        <f>'[1]Orçamento  Operacional'!K178</f>
        <v>-61003.887424077489</v>
      </c>
      <c r="AS100" s="35">
        <f>'[1]Orçamento  Operacional'!L178</f>
        <v>-64161.222378522849</v>
      </c>
      <c r="AT100" s="35">
        <f>'[1]Orçamento  Operacional'!M178</f>
        <v>-57739.300034537147</v>
      </c>
      <c r="AU100" s="35">
        <f>'[1]Orçamento  Operacional'!N178</f>
        <v>-57367.891869241823</v>
      </c>
      <c r="AV100" s="35">
        <f>'[1]Orçamento  Operacional'!O178</f>
        <v>-64072.900216705879</v>
      </c>
      <c r="AW100" s="35">
        <f>'[1]Orçamento  Operacional'!P178</f>
        <v>-60680.290641464897</v>
      </c>
      <c r="AX100" s="35">
        <f>'[1]Orçamento  Operacional'!Q178</f>
        <v>-57137.238663517797</v>
      </c>
      <c r="AY100" s="35">
        <f>'[1]Orçamento  Operacional'!R178</f>
        <v>-72553.492872011848</v>
      </c>
      <c r="AZ100" s="35">
        <f>'[1]Orçamento  Operacional'!S178</f>
        <v>-74652.675168070797</v>
      </c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</row>
    <row r="101" spans="1:69" ht="15" thickBot="1" x14ac:dyDescent="0.35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5" t="s">
        <v>123</v>
      </c>
      <c r="AO101" s="37">
        <f>(AO100/120)*22</f>
        <v>-9787.6425386326373</v>
      </c>
      <c r="AP101" s="35">
        <f t="shared" ref="AP101:AZ101" si="40">(AP100/120)*22</f>
        <v>-8557.4722063643221</v>
      </c>
      <c r="AQ101" s="35">
        <f t="shared" si="40"/>
        <v>-10212.27860087439</v>
      </c>
      <c r="AR101" s="35">
        <f t="shared" si="40"/>
        <v>-11184.046027747539</v>
      </c>
      <c r="AS101" s="35">
        <f t="shared" si="40"/>
        <v>-11762.890769395857</v>
      </c>
      <c r="AT101" s="35">
        <f t="shared" si="40"/>
        <v>-10585.538339665143</v>
      </c>
      <c r="AU101" s="35">
        <f t="shared" si="40"/>
        <v>-10517.446842694335</v>
      </c>
      <c r="AV101" s="35">
        <f t="shared" si="40"/>
        <v>-11746.698373062745</v>
      </c>
      <c r="AW101" s="35">
        <f t="shared" si="40"/>
        <v>-11124.71995093523</v>
      </c>
      <c r="AX101" s="35">
        <f t="shared" si="40"/>
        <v>-10475.160421644929</v>
      </c>
      <c r="AY101" s="35">
        <f t="shared" si="40"/>
        <v>-13301.473693202171</v>
      </c>
      <c r="AZ101" s="36">
        <f t="shared" si="40"/>
        <v>-13686.323780812978</v>
      </c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</row>
    <row r="102" spans="1:69" x14ac:dyDescent="0.3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43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</row>
    <row r="103" spans="1:69" ht="17.399999999999999" x14ac:dyDescent="0.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4" t="s">
        <v>124</v>
      </c>
      <c r="AO103" s="67">
        <f>AO101+AO39+AO7</f>
        <v>-58648.975871965973</v>
      </c>
      <c r="AP103" s="67">
        <f t="shared" ref="AP103:AZ103" si="41">AP101+AP39+AP7</f>
        <v>-57990.805539697656</v>
      </c>
      <c r="AQ103" s="67">
        <f t="shared" si="41"/>
        <v>-59645.611934207715</v>
      </c>
      <c r="AR103" s="67">
        <f t="shared" si="41"/>
        <v>-60617.379361080864</v>
      </c>
      <c r="AS103" s="67">
        <f t="shared" si="41"/>
        <v>-59916.224102729197</v>
      </c>
      <c r="AT103" s="67">
        <f t="shared" si="41"/>
        <v>-58738.871672998481</v>
      </c>
      <c r="AU103" s="67">
        <f t="shared" si="41"/>
        <v>-58670.780176027671</v>
      </c>
      <c r="AV103" s="67">
        <f t="shared" si="41"/>
        <v>-59900.031706396083</v>
      </c>
      <c r="AW103" s="67">
        <f t="shared" si="41"/>
        <v>-59278.053284268564</v>
      </c>
      <c r="AX103" s="67">
        <f t="shared" si="41"/>
        <v>-58628.493754978263</v>
      </c>
      <c r="AY103" s="67">
        <f t="shared" si="41"/>
        <v>-61454.807026535505</v>
      </c>
      <c r="AZ103" s="67">
        <f t="shared" si="41"/>
        <v>-61839.657114146314</v>
      </c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</row>
    <row r="104" spans="1:69" x14ac:dyDescent="0.3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4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</row>
    <row r="105" spans="1:69" x14ac:dyDescent="0.3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4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</row>
    <row r="106" spans="1:69" x14ac:dyDescent="0.3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4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</row>
    <row r="107" spans="1:69" x14ac:dyDescent="0.3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4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</row>
    <row r="108" spans="1:69" x14ac:dyDescent="0.3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4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</row>
    <row r="109" spans="1:69" x14ac:dyDescent="0.3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4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</row>
    <row r="110" spans="1:69" x14ac:dyDescent="0.3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4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</row>
    <row r="111" spans="1:69" x14ac:dyDescent="0.3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4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</row>
    <row r="112" spans="1:69" x14ac:dyDescent="0.3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4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</row>
    <row r="113" spans="1:69" x14ac:dyDescent="0.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4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</row>
    <row r="114" spans="1:69" x14ac:dyDescent="0.3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4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</row>
    <row r="115" spans="1:69" x14ac:dyDescent="0.3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4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</row>
    <row r="116" spans="1:69" x14ac:dyDescent="0.3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4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</row>
    <row r="117" spans="1:69" x14ac:dyDescent="0.3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4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</row>
    <row r="118" spans="1:69" x14ac:dyDescent="0.3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4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</row>
    <row r="119" spans="1:69" x14ac:dyDescent="0.3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4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</row>
    <row r="120" spans="1:69" x14ac:dyDescent="0.3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4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</row>
    <row r="121" spans="1:69" x14ac:dyDescent="0.3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4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</row>
    <row r="122" spans="1:69" x14ac:dyDescent="0.3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4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</row>
    <row r="123" spans="1:69" x14ac:dyDescent="0.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4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</row>
    <row r="124" spans="1:69" x14ac:dyDescent="0.3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4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</row>
    <row r="125" spans="1:69" x14ac:dyDescent="0.3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4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</row>
    <row r="126" spans="1:69" x14ac:dyDescent="0.3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4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</row>
    <row r="127" spans="1:69" x14ac:dyDescent="0.3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4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</row>
    <row r="128" spans="1:69" x14ac:dyDescent="0.3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4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</row>
    <row r="129" spans="1:69" x14ac:dyDescent="0.3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4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</row>
    <row r="130" spans="1:69" x14ac:dyDescent="0.3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4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</row>
    <row r="131" spans="1:69" x14ac:dyDescent="0.3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4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</row>
    <row r="132" spans="1:69" x14ac:dyDescent="0.3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4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</row>
    <row r="133" spans="1:69" x14ac:dyDescent="0.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4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</row>
    <row r="134" spans="1:69" x14ac:dyDescent="0.3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4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</row>
    <row r="135" spans="1:69" x14ac:dyDescent="0.3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4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</row>
    <row r="136" spans="1:69" x14ac:dyDescent="0.3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4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</row>
    <row r="137" spans="1:69" x14ac:dyDescent="0.3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4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</row>
    <row r="138" spans="1:69" x14ac:dyDescent="0.3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4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</row>
    <row r="139" spans="1:69" x14ac:dyDescent="0.3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4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</row>
    <row r="140" spans="1:69" x14ac:dyDescent="0.3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4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</row>
    <row r="141" spans="1:69" x14ac:dyDescent="0.3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4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</row>
    <row r="142" spans="1:69" x14ac:dyDescent="0.3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4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</row>
    <row r="143" spans="1:69" x14ac:dyDescent="0.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4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</row>
    <row r="144" spans="1:69" x14ac:dyDescent="0.3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4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</row>
    <row r="145" spans="1:52" x14ac:dyDescent="0.3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4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</row>
    <row r="146" spans="1:52" x14ac:dyDescent="0.3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4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</row>
    <row r="147" spans="1:52" x14ac:dyDescent="0.3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4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</row>
    <row r="148" spans="1:52" x14ac:dyDescent="0.3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4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</row>
    <row r="149" spans="1:52" x14ac:dyDescent="0.3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4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</row>
    <row r="150" spans="1:52" x14ac:dyDescent="0.3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4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</row>
    <row r="151" spans="1:52" x14ac:dyDescent="0.3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4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</row>
    <row r="152" spans="1:52" x14ac:dyDescent="0.3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4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</row>
    <row r="153" spans="1:52" x14ac:dyDescent="0.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4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</row>
    <row r="154" spans="1:52" x14ac:dyDescent="0.3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4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</row>
    <row r="155" spans="1:52" x14ac:dyDescent="0.3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4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</row>
    <row r="156" spans="1:52" x14ac:dyDescent="0.3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4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</row>
    <row r="157" spans="1:52" x14ac:dyDescent="0.3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4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</row>
    <row r="158" spans="1:52" x14ac:dyDescent="0.3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4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</row>
    <row r="159" spans="1:52" x14ac:dyDescent="0.3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4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</row>
    <row r="160" spans="1:52" x14ac:dyDescent="0.3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4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</row>
    <row r="161" spans="1:52" x14ac:dyDescent="0.3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4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</row>
    <row r="162" spans="1:52" x14ac:dyDescent="0.3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4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</row>
    <row r="163" spans="1:52" x14ac:dyDescent="0.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4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</row>
    <row r="164" spans="1:52" x14ac:dyDescent="0.3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4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</row>
    <row r="165" spans="1:52" x14ac:dyDescent="0.3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4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</row>
    <row r="166" spans="1:52" x14ac:dyDescent="0.3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4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</row>
    <row r="167" spans="1:52" x14ac:dyDescent="0.3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4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</row>
    <row r="168" spans="1:52" x14ac:dyDescent="0.3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4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</row>
    <row r="169" spans="1:52" x14ac:dyDescent="0.3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4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</row>
    <row r="170" spans="1:52" x14ac:dyDescent="0.3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4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</row>
    <row r="171" spans="1:52" x14ac:dyDescent="0.3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4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</row>
    <row r="172" spans="1:52" x14ac:dyDescent="0.3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4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</row>
    <row r="173" spans="1:52" x14ac:dyDescent="0.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4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</row>
    <row r="174" spans="1:52" x14ac:dyDescent="0.3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4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</row>
    <row r="175" spans="1:52" x14ac:dyDescent="0.3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4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</row>
    <row r="176" spans="1:52" x14ac:dyDescent="0.3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4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</row>
    <row r="177" spans="1:52" x14ac:dyDescent="0.3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4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</row>
    <row r="178" spans="1:52" x14ac:dyDescent="0.3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4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</row>
    <row r="179" spans="1:52" x14ac:dyDescent="0.3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4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</row>
    <row r="180" spans="1:52" x14ac:dyDescent="0.3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4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</row>
    <row r="181" spans="1:52" x14ac:dyDescent="0.3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4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</row>
    <row r="182" spans="1:52" x14ac:dyDescent="0.3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4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</row>
    <row r="183" spans="1:52" x14ac:dyDescent="0.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4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</row>
    <row r="184" spans="1:52" x14ac:dyDescent="0.3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4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</row>
    <row r="185" spans="1:52" x14ac:dyDescent="0.3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4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</row>
    <row r="186" spans="1:52" x14ac:dyDescent="0.3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4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</row>
    <row r="187" spans="1:52" x14ac:dyDescent="0.3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4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</row>
    <row r="188" spans="1:52" x14ac:dyDescent="0.3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4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</row>
    <row r="189" spans="1:52" x14ac:dyDescent="0.3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4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</row>
    <row r="190" spans="1:52" x14ac:dyDescent="0.3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4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</row>
    <row r="191" spans="1:52" x14ac:dyDescent="0.3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4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</row>
    <row r="192" spans="1:52" x14ac:dyDescent="0.3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4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</row>
    <row r="193" spans="1:52" x14ac:dyDescent="0.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4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</row>
    <row r="194" spans="1:52" x14ac:dyDescent="0.3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4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</row>
    <row r="195" spans="1:52" x14ac:dyDescent="0.3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4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</row>
    <row r="196" spans="1:52" x14ac:dyDescent="0.3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4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</row>
    <row r="197" spans="1:52" x14ac:dyDescent="0.3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4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</row>
    <row r="198" spans="1:52" x14ac:dyDescent="0.3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4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</row>
    <row r="199" spans="1:52" x14ac:dyDescent="0.3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4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</row>
    <row r="200" spans="1:52" x14ac:dyDescent="0.3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4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</row>
    <row r="201" spans="1:52" x14ac:dyDescent="0.3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4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</row>
    <row r="202" spans="1:52" x14ac:dyDescent="0.3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4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</row>
    <row r="203" spans="1:52" x14ac:dyDescent="0.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4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</row>
    <row r="204" spans="1:52" x14ac:dyDescent="0.3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4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Headcount de Pessoas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Scabelli</dc:creator>
  <cp:lastModifiedBy>Catarina Scabelli</cp:lastModifiedBy>
  <dcterms:created xsi:type="dcterms:W3CDTF">2026-04-22T18:11:03Z</dcterms:created>
  <dcterms:modified xsi:type="dcterms:W3CDTF">2026-04-22T18:11:25Z</dcterms:modified>
</cp:coreProperties>
</file>